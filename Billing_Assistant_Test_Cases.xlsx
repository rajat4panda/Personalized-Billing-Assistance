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Defect Log" sheetId="3" state="visible" r:id="rId5"/>
  </sheets>
  <definedNames>
    <definedName function="false" hidden="true" localSheetId="2" name="_xlnm._FilterDatabase" vbProcedure="false">'Defect Log'!$A$1:$I$9</definedName>
    <definedName function="false" hidden="true" localSheetId="1" name="_xlnm._FilterDatabase" vbProcedure="false">'Test Cases'!$A$1:$M$53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<sst xmlns="http://schemas.openxmlformats.org/spreadsheetml/2006/main" count="759" uniqueCount="415">
  <si>
    <t xml:space="preserve">Personalized Billing Assistance (#6) — Test Summary</t>
  </si>
  <si>
    <t xml:space="preserve">Telangana AIKAM Challenge · Department of Energy · Built on Crest</t>
  </si>
  <si>
    <t xml:space="preserve">Project</t>
  </si>
  <si>
    <t xml:space="preserve">Vidyut Sahaayam — Personalized Billing Assistance</t>
  </si>
  <si>
    <t xml:space="preserve">Component under test</t>
  </si>
  <si>
    <t xml:space="preserve">Crest agent (billing_assistant.crest.json v1.1.0) + local app + live proxy</t>
  </si>
  <si>
    <t xml:space="preserve">Test environment</t>
  </si>
  <si>
    <t xml:space="preserve">Crest DEV (agent Live) · local server.py proxy · Chrome/Edge · demo + live modes</t>
  </si>
  <si>
    <t xml:space="preserve">Test data</t>
  </si>
  <si>
    <t xml:space="preserve">Synthetic Telangana domestic bills (Ramesh 420u, Lakshmi 180u); illustrative tariff</t>
  </si>
  <si>
    <t xml:space="preserve">Executed by</t>
  </si>
  <si>
    <t xml:space="preserve">QA — OMFYS</t>
  </si>
  <si>
    <t xml:space="preserve">Execution date</t>
  </si>
  <si>
    <t xml:space="preserve">2026-10-13</t>
  </si>
  <si>
    <t xml:space="preserve">Results</t>
  </si>
  <si>
    <t xml:space="preserve">Metric</t>
  </si>
  <si>
    <t xml:space="preserve">Count</t>
  </si>
  <si>
    <t xml:space="preserve">Total test cases</t>
  </si>
  <si>
    <t xml:space="preserve">Passed</t>
  </si>
  <si>
    <t xml:space="preserve">Failed (open)</t>
  </si>
  <si>
    <t xml:space="preserve">Blocked</t>
  </si>
  <si>
    <t xml:space="preserve">Pass rate</t>
  </si>
  <si>
    <t xml:space="preserve">Defects found &amp; fixed during integration</t>
  </si>
  <si>
    <t xml:space="preserve">Total defects logged</t>
  </si>
  <si>
    <t xml:space="preserve">Closed / fixed</t>
  </si>
  <si>
    <t xml:space="preserve">Open</t>
  </si>
  <si>
    <t xml:space="preserve">Note</t>
  </si>
  <si>
    <t xml:space="preserve">All eight defects were found, fixed and retested within the same session (see Defect Log).
Tests requiring a live LLM provider key (Explain, Savings) assume an OpenAI/compatible key is configured at the org level.
Forecast and totals are deterministic and were cross-checked numerically.</t>
  </si>
  <si>
    <t xml:space="preserve">Test ID</t>
  </si>
  <si>
    <t xml:space="preserve">Module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</si>
  <si>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</si>
  <si>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</si>
  <si>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</si>
  <si>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</si>
  <si>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</si>
  <si>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</si>
  <si>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</si>
  <si>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</si>
  <si>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Defect ID</t>
  </si>
  <si>
    <t xml:space="preserve">Tester</t>
  </si>
  <si>
    <t xml:space="preserve">Executed On</t>
  </si>
  <si>
    <t xml:space="preserve">TC-AG-01</t>
  </si>
  <si>
    <t xml:space="preserve">Agent (Crest)</t>
  </si>
  <si>
    <t xml:space="preserve">Import agent definition</t>
  </si>
  <si>
    <t xml:space="preserve">Crest Agent Studio access; billing_assistant.crest.json available</t>
  </si>
  <si>
    <t xml:space="preserve">Agent Studio &gt; Import JSON &gt; select billing_assistant.crest.json</t>
  </si>
  <si>
    <t xml:space="preserve">billing_assistant.crest.json (v1.1.0)</t>
  </si>
  <si>
    <t xml:space="preserve">Agent created with 10 nodes (trigger, ingest, memory_read, forecast, explain, savings, build_history, memory_write, compose, output); no import errors</t>
  </si>
  <si>
    <t xml:space="preserve">Agent imported; all 10 nodes present</t>
  </si>
  <si>
    <t xml:space="preserve">Pass</t>
  </si>
  <si>
    <t xml:space="preserve">High</t>
  </si>
  <si>
    <t xml:space="preserve">QA-OMFYS</t>
  </si>
  <si>
    <t xml:space="preserve">TC-AG-02</t>
  </si>
  <si>
    <t xml:space="preserve">Deploy agent to Live</t>
  </si>
  <si>
    <t xml:space="preserve">Agent imported (TC-AG-01)</t>
  </si>
  <si>
    <t xml:space="preserve">Open agent &gt; Lifecycle &gt; Deploy to Live</t>
  </si>
  <si>
    <t xml:space="preserve">-</t>
  </si>
  <si>
    <t xml:space="preserve">Status becomes Live; run API accepts runs for this agent</t>
  </si>
  <si>
    <t xml:space="preserve">Agent Live; runs accepted</t>
  </si>
  <si>
    <t xml:space="preserve">TC-AG-03</t>
  </si>
  <si>
    <t xml:space="preserve">Trigger accepts bill payload</t>
  </si>
  <si>
    <t xml:space="preserve">Agent Live</t>
  </si>
  <si>
    <t xml:space="preserve">POST a run with input_payload.bill (Ramesh)</t>
  </si>
  <si>
    <t xml:space="preserve">Ramesh parsed bill JSON</t>
  </si>
  <si>
    <t xml:space="preserve">Trigger node = success; input.bill available downstream</t>
  </si>
  <si>
    <t xml:space="preserve">Trigger success; bill in state</t>
  </si>
  <si>
    <t xml:space="preserve">TC-AG-04</t>
  </si>
  <si>
    <t xml:space="preserve">Ingest node maps bill</t>
  </si>
  <si>
    <t xml:space="preserve">Trigger passed</t>
  </si>
  <si>
    <t xml:space="preserve">Run agent; inspect Ingest node output</t>
  </si>
  <si>
    <t xml:space="preserve">Ramesh bill</t>
  </si>
  <si>
    <t xml:space="preserve">Ingest returns the parsed bill to state 'bill'</t>
  </si>
  <si>
    <t xml:space="preserve">bill populated correctly</t>
  </si>
  <si>
    <t xml:space="preserve">D-02</t>
  </si>
  <si>
    <t xml:space="preserve">TC-AG-05</t>
  </si>
  <si>
    <t xml:space="preserve">code_exec sandbox — no import statements</t>
  </si>
  <si>
    <t xml:space="preserve">Run agent; observe code_exec nodes execute</t>
  </si>
  <si>
    <t xml:space="preserve">Any bill</t>
  </si>
  <si>
    <t xml:space="preserve">No 'Disallowed token: import' error; nodes run</t>
  </si>
  <si>
    <t xml:space="preserve">Nodes run after imports removed</t>
  </si>
  <si>
    <t xml:space="preserve">D-03</t>
  </si>
  <si>
    <t xml:space="preserve">TC-AG-06</t>
  </si>
  <si>
    <t xml:space="preserve">code_exec — no blocked words in comments</t>
  </si>
  <si>
    <t xml:space="preserve">Run agent after stripping comments from code nodes</t>
  </si>
  <si>
    <t xml:space="preserve">No 'Disallowed token: from' error</t>
  </si>
  <si>
    <t xml:space="preserve">Passed after comments stripped</t>
  </si>
  <si>
    <t xml:space="preserve">D-04</t>
  </si>
  <si>
    <t xml:space="preserve">TC-AG-07</t>
  </si>
  <si>
    <t xml:space="preserve">Memory Read — consumption history</t>
  </si>
  <si>
    <t xml:space="preserve">Run agent; inspect Memory Read output</t>
  </si>
  <si>
    <t xml:space="preserve">First run (empty memory)</t>
  </si>
  <si>
    <t xml:space="preserve">Returns default (no history); run continues using bill.history</t>
  </si>
  <si>
    <t xml:space="preserve">Default handled; run continues</t>
  </si>
  <si>
    <t xml:space="preserve">Medium</t>
  </si>
  <si>
    <t xml:space="preserve">TC-AG-08</t>
  </si>
  <si>
    <t xml:space="preserve">Forecast node computes</t>
  </si>
  <si>
    <t xml:space="preserve">Ingest + history available</t>
  </si>
  <si>
    <t xml:space="preserve">Run agent; inspect Forecast node output</t>
  </si>
  <si>
    <t xml:space="preserve">Ramesh bill + 12-mo history</t>
  </si>
  <si>
    <t xml:space="preserve">Returns next_units, next_total, trend_pct, confidence, basis</t>
  </si>
  <si>
    <t xml:space="preserve">Forecast object returned</t>
  </si>
  <si>
    <t xml:space="preserve">TC-AG-09</t>
  </si>
  <si>
    <t xml:space="preserve">Explain node — Telugu + English</t>
  </si>
  <si>
    <t xml:space="preserve">LLM provider configured</t>
  </si>
  <si>
    <t xml:space="preserve">Run agent; inspect Explain (LLM) output</t>
  </si>
  <si>
    <t xml:space="preserve">Bilingual explanation of each charge; only given numbers used</t>
  </si>
  <si>
    <t xml:space="preserve">Telugu+English explanation produced</t>
  </si>
  <si>
    <t xml:space="preserve">TC-AG-10</t>
  </si>
  <si>
    <t xml:space="preserve">Savings node — tailored tips</t>
  </si>
  <si>
    <t xml:space="preserve">Explain passed</t>
  </si>
  <si>
    <t xml:space="preserve">Run agent; inspect Savings output</t>
  </si>
  <si>
    <t xml:space="preserve">Ramesh (crossed slab)</t>
  </si>
  <si>
    <t xml:space="preserve">3 specific tips incl. slab-crossing warning with rupee impact</t>
  </si>
  <si>
    <t xml:space="preserve">3 tips incl. slab warning</t>
  </si>
  <si>
    <t xml:space="preserve">TC-AG-11</t>
  </si>
  <si>
    <t xml:space="preserve">Memory Write — persist bill</t>
  </si>
  <si>
    <t xml:space="preserve">Savings passed</t>
  </si>
  <si>
    <t xml:space="preserve">Run agent; inspect Memory Write</t>
  </si>
  <si>
    <t xml:space="preserve">Current bill appended to consumption history (no duplicate month)</t>
  </si>
  <si>
    <t xml:space="preserve">Bill stored</t>
  </si>
  <si>
    <t xml:space="preserve">Low</t>
  </si>
  <si>
    <t xml:space="preserve">TC-AG-12</t>
  </si>
  <si>
    <t xml:space="preserve">Compose + Output (result_path)</t>
  </si>
  <si>
    <t xml:space="preserve">All upstream passed</t>
  </si>
  <si>
    <t xml:space="preserve">Run agent; inspect final output_payload</t>
  </si>
  <si>
    <t xml:space="preserve">output_payload = {explanation, savings, forecast, bill, audio_url}</t>
  </si>
  <si>
    <t xml:space="preserve">Structured object returned via result_path</t>
  </si>
  <si>
    <t xml:space="preserve">D-08</t>
  </si>
  <si>
    <t xml:space="preserve">TC-AG-13</t>
  </si>
  <si>
    <t xml:space="preserve">PII redaction in audit</t>
  </si>
  <si>
    <t xml:space="preserve">policy_mode = enforce</t>
  </si>
  <si>
    <t xml:space="preserve">Run agent; open run audit / state</t>
  </si>
  <si>
    <t xml:space="preserve">Bill with name, address, service no.</t>
  </si>
  <si>
    <t xml:space="preserve">consumer_name, address, service_number redacted in audit trail</t>
  </si>
  <si>
    <t xml:space="preserve">PII redacted in audit</t>
  </si>
  <si>
    <t xml:space="preserve">TC-AG-14</t>
  </si>
  <si>
    <t xml:space="preserve">End-to-end run success</t>
  </si>
  <si>
    <t xml:space="preserve">Agent Live; provider key set</t>
  </si>
  <si>
    <t xml:space="preserve">Trigger a full run and wait for completion</t>
  </si>
  <si>
    <t xml:space="preserve">Run status = success; cost &amp; tokens logged</t>
  </si>
  <si>
    <t xml:space="preserve">Run success end-to-end</t>
  </si>
  <si>
    <t xml:space="preserve">TC-API-01</t>
  </si>
  <si>
    <t xml:space="preserve">Integration</t>
  </si>
  <si>
    <t xml:space="preserve">Run endpoint path</t>
  </si>
  <si>
    <t xml:space="preserve">Proxy configured with CREST_*</t>
  </si>
  <si>
    <t xml:space="preserve">App triggers a live run via proxy</t>
  </si>
  <si>
    <t xml:space="preserve">Ramesh payload</t>
  </si>
  <si>
    <t xml:space="preserve">POST /api/v1/agents/{id}/runs returns 202 + run_id</t>
  </si>
  <si>
    <t xml:space="preserve">202 + run_id after path fix (runs, plural)</t>
  </si>
  <si>
    <t xml:space="preserve">D-01</t>
  </si>
  <si>
    <t xml:space="preserve">TC-API-02</t>
  </si>
  <si>
    <t xml:space="preserve">Async trigger-and-poll</t>
  </si>
  <si>
    <t xml:space="preserve">Run triggered (TC-API-01)</t>
  </si>
  <si>
    <t xml:space="preserve">Proxy polls run status until terminal</t>
  </si>
  <si>
    <t xml:space="preserve">Ramesh run</t>
  </si>
  <si>
    <t xml:space="preserve">Proxy polls GET .../runs/{run_id} until success; returns output_payload</t>
  </si>
  <si>
    <t xml:space="preserve">Polled to success; payload returned</t>
  </si>
  <si>
    <t xml:space="preserve">TC-API-03</t>
  </si>
  <si>
    <t xml:space="preserve">Bearer authentication</t>
  </si>
  <si>
    <t xml:space="preserve">Valid API key in .env</t>
  </si>
  <si>
    <t xml:space="preserve">Observe outbound request headers</t>
  </si>
  <si>
    <t xml:space="preserve">crest_live_sk_… key</t>
  </si>
  <si>
    <t xml:space="preserve">Authorization: Bearer &lt;key&gt; accepted by Crest</t>
  </si>
  <si>
    <t xml:space="preserve">Auth accepted</t>
  </si>
  <si>
    <t xml:space="preserve">TC-API-04</t>
  </si>
  <si>
    <t xml:space="preserve">JSON input_payload body</t>
  </si>
  <si>
    <t xml:space="preserve">Proxy running</t>
  </si>
  <si>
    <t xml:space="preserve">Send run with JSON body</t>
  </si>
  <si>
    <t xml:space="preserve">{input_payload:{bill,…}}</t>
  </si>
  <si>
    <t xml:space="preserve">Body forwarded as JSON; agent receives input_payload</t>
  </si>
  <si>
    <t xml:space="preserve">Forwarded correctly</t>
  </si>
  <si>
    <t xml:space="preserve">TC-API-05</t>
  </si>
  <si>
    <t xml:space="preserve">.env auto-load</t>
  </si>
  <si>
    <t xml:space="preserve">server.py present; .env filled</t>
  </si>
  <si>
    <t xml:space="preserve">Run: python3 server.py; read boot banner</t>
  </si>
  <si>
    <t xml:space="preserve">CREST_BASE_URL/AGENT_ID/API_KEY</t>
  </si>
  <si>
    <t xml:space="preserve">Banner shows LIVE and values detected (quotes/spaces tolerated)</t>
  </si>
  <si>
    <t xml:space="preserve">LIVE on boot after auto-load added</t>
  </si>
  <si>
    <t xml:space="preserve">D-07</t>
  </si>
  <si>
    <t xml:space="preserve">TC-API-06</t>
  </si>
  <si>
    <t xml:space="preserve">Config detection endpoint</t>
  </si>
  <si>
    <t xml:space="preserve">Proxy LIVE</t>
  </si>
  <si>
    <t xml:space="preserve">GET /api/config</t>
  </si>
  <si>
    <t xml:space="preserve">Returns {configured:true, base, agent}</t>
  </si>
  <si>
    <t xml:space="preserve">configured:true returned</t>
  </si>
  <si>
    <t xml:space="preserve">TC-API-07</t>
  </si>
  <si>
    <t xml:space="preserve">Clear error on wrong route</t>
  </si>
  <si>
    <t xml:space="preserve">Point CREST_RUN_PATH to wrong path; trigger</t>
  </si>
  <si>
    <t xml:space="preserve">bad path</t>
  </si>
  <si>
    <t xml:space="preserve">App shows 'Crest returned HTTP 404' with detail (no silent fail)</t>
  </si>
  <si>
    <t xml:space="preserve">404 surfaced clearly</t>
  </si>
  <si>
    <t xml:space="preserve">TC-API-08</t>
  </si>
  <si>
    <t xml:space="preserve">Run timeout handling</t>
  </si>
  <si>
    <t xml:space="preserve">Simulate long run beyond poll timeout</t>
  </si>
  <si>
    <t xml:space="preserve">CREST_POLL_TIMEOUT small</t>
  </si>
  <si>
    <t xml:space="preserve">Returns 504 with run_id and last_status; no hang</t>
  </si>
  <si>
    <t xml:space="preserve">Graceful 504 (verified in code)</t>
  </si>
  <si>
    <t xml:space="preserve">TC-API-09</t>
  </si>
  <si>
    <t xml:space="preserve">Unconfigured guard</t>
  </si>
  <si>
    <t xml:space="preserve">CREST_* unset</t>
  </si>
  <si>
    <t xml:space="preserve">Start server without keys; trigger run</t>
  </si>
  <si>
    <t xml:space="preserve">no keys</t>
  </si>
  <si>
    <t xml:space="preserve">Returns 400 with 'Crest is not configured' message</t>
  </si>
  <si>
    <t xml:space="preserve">400 with guidance</t>
  </si>
  <si>
    <t xml:space="preserve">TC-APP-01</t>
  </si>
  <si>
    <t xml:space="preserve">Application</t>
  </si>
  <si>
    <t xml:space="preserve">Demo mode default</t>
  </si>
  <si>
    <t xml:space="preserve">App opened without proxy</t>
  </si>
  <si>
    <t xml:space="preserve">Open index.html directly; click a sample</t>
  </si>
  <si>
    <t xml:space="preserve">sample bill</t>
  </si>
  <si>
    <t xml:space="preserve">Badge shows Demo; result renders on built-in sample</t>
  </si>
  <si>
    <t xml:space="preserve">Demo works offline</t>
  </si>
  <si>
    <t xml:space="preserve">TC-APP-02</t>
  </si>
  <si>
    <t xml:space="preserve">Live badge detection</t>
  </si>
  <si>
    <t xml:space="preserve">Proxy LIVE; app via localhost:8700</t>
  </si>
  <si>
    <t xml:space="preserve">Open app; observe mode badge</t>
  </si>
  <si>
    <t xml:space="preserve">Badge shows 'Live · Crest'</t>
  </si>
  <si>
    <t xml:space="preserve">Live badge shown</t>
  </si>
  <si>
    <t xml:space="preserve">TC-APP-03</t>
  </si>
  <si>
    <t xml:space="preserve">Live run — Ramesh</t>
  </si>
  <si>
    <t xml:space="preserve">Live mode</t>
  </si>
  <si>
    <t xml:space="preserve">Click sample 'Ramesh (420)'</t>
  </si>
  <si>
    <t xml:space="preserve">Ramesh</t>
  </si>
  <si>
    <t xml:space="preserve">Agent runs; bill, chart, forecast, tips render</t>
  </si>
  <si>
    <t xml:space="preserve">Rendered correctly</t>
  </si>
  <si>
    <t xml:space="preserve">TC-APP-04</t>
  </si>
  <si>
    <t xml:space="preserve">Live run — Lakshmi</t>
  </si>
  <si>
    <t xml:space="preserve">New bill &gt; click 'Lakshmi (180)'</t>
  </si>
  <si>
    <t xml:space="preserve">Lakshmi</t>
  </si>
  <si>
    <t xml:space="preserve">Lakshmi-specific result (not previous consumer)</t>
  </si>
  <si>
    <t xml:space="preserve">Correct per-consumer result</t>
  </si>
  <si>
    <t xml:space="preserve">D-06</t>
  </si>
  <si>
    <t xml:space="preserve">TC-APP-05</t>
  </si>
  <si>
    <t xml:space="preserve">Upload routing by filename</t>
  </si>
  <si>
    <t xml:space="preserve">Any mode</t>
  </si>
  <si>
    <t xml:space="preserve">Choose a file named 'laxmi_bill.jpg'</t>
  </si>
  <si>
    <t xml:space="preserve">laxmi_bill.jpg</t>
  </si>
  <si>
    <t xml:space="preserve">Runs as Lakshmi (not always Ramesh)</t>
  </si>
  <si>
    <t xml:space="preserve">Routed to Lakshmi</t>
  </si>
  <si>
    <t xml:space="preserve">TC-APP-06</t>
  </si>
  <si>
    <t xml:space="preserve">Chooser on unclear filename</t>
  </si>
  <si>
    <t xml:space="preserve">Choose a file named 'bill.jpg'</t>
  </si>
  <si>
    <t xml:space="preserve">bill.jpg</t>
  </si>
  <si>
    <t xml:space="preserve">Prompts 'run as Ramesh / Lakshmi'</t>
  </si>
  <si>
    <t xml:space="preserve">Chooser shown</t>
  </si>
  <si>
    <t xml:space="preserve">TC-APP-07</t>
  </si>
  <si>
    <t xml:space="preserve">Language toggle — Telugu</t>
  </si>
  <si>
    <t xml:space="preserve">Result shown</t>
  </si>
  <si>
    <t xml:space="preserve">Click 'తెలుగు'</t>
  </si>
  <si>
    <t xml:space="preserve">UI and content show Telugu only</t>
  </si>
  <si>
    <t xml:space="preserve">Telugu-only view</t>
  </si>
  <si>
    <t xml:space="preserve">TC-APP-08</t>
  </si>
  <si>
    <t xml:space="preserve">Language toggle — English</t>
  </si>
  <si>
    <t xml:space="preserve">Click 'English'</t>
  </si>
  <si>
    <t xml:space="preserve">UI and content show English only</t>
  </si>
  <si>
    <t xml:space="preserve">English-only view</t>
  </si>
  <si>
    <t xml:space="preserve">TC-APP-09</t>
  </si>
  <si>
    <t xml:space="preserve">Language toggle — Both</t>
  </si>
  <si>
    <t xml:space="preserve">Click 'Both'</t>
  </si>
  <si>
    <t xml:space="preserve">Telugu and English shown together</t>
  </si>
  <si>
    <t xml:space="preserve">Both shown</t>
  </si>
  <si>
    <t xml:space="preserve">TC-APP-10</t>
  </si>
  <si>
    <t xml:space="preserve">Listen in Telugu (TTS)</t>
  </si>
  <si>
    <t xml:space="preserve">Result shown; browser TTS</t>
  </si>
  <si>
    <t xml:space="preserve">Click 'తెలుగులో వినండి / Listen'</t>
  </si>
  <si>
    <t xml:space="preserve">Explanation read aloud in Telugu; graceful if no voice</t>
  </si>
  <si>
    <t xml:space="preserve">Speech played; graceful fallback</t>
  </si>
  <si>
    <t xml:space="preserve">TC-APP-11</t>
  </si>
  <si>
    <t xml:space="preserve">Theme toggle (light/dark)</t>
  </si>
  <si>
    <t xml:space="preserve">App open</t>
  </si>
  <si>
    <t xml:space="preserve">Toggle theme button</t>
  </si>
  <si>
    <t xml:space="preserve">Theme switches; text readable in both</t>
  </si>
  <si>
    <t xml:space="preserve">Readable both themes</t>
  </si>
  <si>
    <t xml:space="preserve">TC-APP-12</t>
  </si>
  <si>
    <t xml:space="preserve">Agent step trace animation</t>
  </si>
  <si>
    <t xml:space="preserve">Run started</t>
  </si>
  <si>
    <t xml:space="preserve">Observe Step 2 trace during a run</t>
  </si>
  <si>
    <t xml:space="preserve">Nodes tick through with check marks (agentic visibility)</t>
  </si>
  <si>
    <t xml:space="preserve">Trace animates</t>
  </si>
  <si>
    <t xml:space="preserve">TC-APP-13</t>
  </si>
  <si>
    <t xml:space="preserve">Consumption chart</t>
  </si>
  <si>
    <t xml:space="preserve">View 'Usage, last 12 months'</t>
  </si>
  <si>
    <t xml:space="preserve">12-mo history</t>
  </si>
  <si>
    <t xml:space="preserve">12 bars + dashed forecast bar; current month highlighted</t>
  </si>
  <si>
    <t xml:space="preserve">Chart correct</t>
  </si>
  <si>
    <t xml:space="preserve">TC-APP-14</t>
  </si>
  <si>
    <t xml:space="preserve">Forecast card</t>
  </si>
  <si>
    <t xml:space="preserve">View 'Next month, estimated'</t>
  </si>
  <si>
    <t xml:space="preserve">Shows est. units, est. bill, confidence</t>
  </si>
  <si>
    <t xml:space="preserve">Card correct</t>
  </si>
  <si>
    <t xml:space="preserve">TC-APP-15</t>
  </si>
  <si>
    <t xml:space="preserve">New bill (header button)</t>
  </si>
  <si>
    <t xml:space="preserve">Click 'New bill' in header</t>
  </si>
  <si>
    <t xml:space="preserve">Resets to upload/sample screen; prior result cleared</t>
  </si>
  <si>
    <t xml:space="preserve">Reset works</t>
  </si>
  <si>
    <t xml:space="preserve">TC-APP-16</t>
  </si>
  <si>
    <t xml:space="preserve">Upload another bill (results)</t>
  </si>
  <si>
    <t xml:space="preserve">Click 'Upload another bill' atop results</t>
  </si>
  <si>
    <t xml:space="preserve">Resets cleanly to start</t>
  </si>
  <si>
    <t xml:space="preserve">TC-APP-17</t>
  </si>
  <si>
    <t xml:space="preserve">Live failure fallback</t>
  </si>
  <si>
    <t xml:space="preserve">Live mode; induce failure</t>
  </si>
  <si>
    <t xml:space="preserve">Trigger a failing run</t>
  </si>
  <si>
    <t xml:space="preserve">bad config</t>
  </si>
  <si>
    <t xml:space="preserve">Error shown with 'Show demo instead' option that works</t>
  </si>
  <si>
    <t xml:space="preserve">Fallback works</t>
  </si>
  <si>
    <t xml:space="preserve">TC-APP-18</t>
  </si>
  <si>
    <t xml:space="preserve">Responsive at phone width</t>
  </si>
  <si>
    <t xml:space="preserve">Any</t>
  </si>
  <si>
    <t xml:space="preserve">Open at ~400px width</t>
  </si>
  <si>
    <t xml:space="preserve">No horizontal scroll; sections stack</t>
  </si>
  <si>
    <t xml:space="preserve">Responsive OK</t>
  </si>
  <si>
    <t xml:space="preserve">TC-DATA-01</t>
  </si>
  <si>
    <t xml:space="preserve">Data/Forecast</t>
  </si>
  <si>
    <t xml:space="preserve">Ramesh forecast accuracy</t>
  </si>
  <si>
    <t xml:space="preserve">Forecast node</t>
  </si>
  <si>
    <t xml:space="preserve">Run Ramesh; check forecast</t>
  </si>
  <si>
    <t xml:space="preserve">420 units, 12-mo history</t>
  </si>
  <si>
    <t xml:space="preserve">Next ≈ 344 units, next bill ≈ ₹1,830</t>
  </si>
  <si>
    <t xml:space="preserve">344 units / ₹1,830</t>
  </si>
  <si>
    <t xml:space="preserve">D-05</t>
  </si>
  <si>
    <t xml:space="preserve">TC-DATA-02</t>
  </si>
  <si>
    <t xml:space="preserve">Lakshmi forecast accuracy</t>
  </si>
  <si>
    <t xml:space="preserve">Run Lakshmi; check forecast</t>
  </si>
  <si>
    <t xml:space="preserve">180 units, 12-mo history</t>
  </si>
  <si>
    <t xml:space="preserve">Next ≈ 161 units, next bill ≈ ₹440</t>
  </si>
  <si>
    <t xml:space="preserve">161 units / ₹440</t>
  </si>
  <si>
    <t xml:space="preserve">TC-DATA-03</t>
  </si>
  <si>
    <t xml:space="preserve">Trend vs last month</t>
  </si>
  <si>
    <t xml:space="preserve">Check up/down pill</t>
  </si>
  <si>
    <t xml:space="preserve">Ramesh / Lakshmi</t>
  </si>
  <si>
    <t xml:space="preserve">Ramesh +2%, Lakshmi +5% vs last month</t>
  </si>
  <si>
    <t xml:space="preserve">Values correct</t>
  </si>
  <si>
    <t xml:space="preserve">TC-DATA-04</t>
  </si>
  <si>
    <t xml:space="preserve">Confidence level</t>
  </si>
  <si>
    <t xml:space="preserve">12-mo history present</t>
  </si>
  <si>
    <t xml:space="preserve">Check forecast confidence</t>
  </si>
  <si>
    <t xml:space="preserve">12 months</t>
  </si>
  <si>
    <t xml:space="preserve">Confidence = 'high' (&gt;=6 months)</t>
  </si>
  <si>
    <t xml:space="preserve">high</t>
  </si>
  <si>
    <t xml:space="preserve">TC-DATA-05</t>
  </si>
  <si>
    <t xml:space="preserve">Charge breakdown totals</t>
  </si>
  <si>
    <t xml:space="preserve">Sum energy + fixed + duty vs total</t>
  </si>
  <si>
    <t xml:space="preserve">Ramesh charges</t>
  </si>
  <si>
    <t xml:space="preserve">Energy(2100)+Fixed(90)+Duty(25) = Total ₹2,215</t>
  </si>
  <si>
    <t xml:space="preserve">Totals reconcile</t>
  </si>
  <si>
    <t xml:space="preserve">TC-DATA-06</t>
  </si>
  <si>
    <t xml:space="preserve">Deterministic forecast</t>
  </si>
  <si>
    <t xml:space="preserve">Run same bill twice</t>
  </si>
  <si>
    <t xml:space="preserve">Identical forecast both runs (calculated, not LLM-guessed)</t>
  </si>
  <si>
    <t xml:space="preserve">Identical output</t>
  </si>
  <si>
    <t xml:space="preserve">TC-NFR-01</t>
  </si>
  <si>
    <t xml:space="preserve">Accessibility</t>
  </si>
  <si>
    <t xml:space="preserve">Telugu script rendering</t>
  </si>
  <si>
    <t xml:space="preserve">Internet for font (first load)</t>
  </si>
  <si>
    <t xml:space="preserve">View Telugu content</t>
  </si>
  <si>
    <t xml:space="preserve">Noto Sans Telugu loads; glyphs render correctly</t>
  </si>
  <si>
    <t xml:space="preserve">Renders correctly</t>
  </si>
  <si>
    <t xml:space="preserve">TC-NFR-02</t>
  </si>
  <si>
    <t xml:space="preserve">Bilingual completeness</t>
  </si>
  <si>
    <t xml:space="preserve">Both mode</t>
  </si>
  <si>
    <t xml:space="preserve">Scan all labels and results</t>
  </si>
  <si>
    <t xml:space="preserve">Every label/section has Telugu + English</t>
  </si>
  <si>
    <t xml:space="preserve">Complete</t>
  </si>
  <si>
    <t xml:space="preserve">TC-NFR-03</t>
  </si>
  <si>
    <t xml:space="preserve">GIGW 3.0 principles</t>
  </si>
  <si>
    <t xml:space="preserve">Review tap targets, contrast, simplicity</t>
  </si>
  <si>
    <t xml:space="preserve">Large targets, adequate contrast, simple flow</t>
  </si>
  <si>
    <t xml:space="preserve">Meets principles (manual review)</t>
  </si>
  <si>
    <t xml:space="preserve">TC-NFR-04</t>
  </si>
  <si>
    <t xml:space="preserve">Keyboard focus visible</t>
  </si>
  <si>
    <t xml:space="preserve">Tab through controls</t>
  </si>
  <si>
    <t xml:space="preserve">Visible focus state on interactive elements</t>
  </si>
  <si>
    <t xml:space="preserve">Focus visible</t>
  </si>
  <si>
    <t xml:space="preserve">TC-NFR-05</t>
  </si>
  <si>
    <t xml:space="preserve">Reduced motion</t>
  </si>
  <si>
    <t xml:space="preserve">OS reduced-motion on</t>
  </si>
  <si>
    <t xml:space="preserve">Load app with reduced motion</t>
  </si>
  <si>
    <t xml:space="preserve">Animations suppressed; content still complete</t>
  </si>
  <si>
    <t xml:space="preserve">Respected</t>
  </si>
  <si>
    <t xml:space="preserve">Linked Test(s)</t>
  </si>
  <si>
    <t xml:space="preserve">Description</t>
  </si>
  <si>
    <t xml:space="preserve">Root Cause</t>
  </si>
  <si>
    <t xml:space="preserve">Resolution</t>
  </si>
  <si>
    <t xml:space="preserve">Found On</t>
  </si>
  <si>
    <t xml:space="preserve">Fixed On</t>
  </si>
  <si>
    <t xml:space="preserve">TC-API-01, TC-API-07</t>
  </si>
  <si>
    <t xml:space="preserve">Live call returned HTTP 404; no run created.</t>
  </si>
  <si>
    <t xml:space="preserve">Run endpoint used singular '/run'; Crest expects plural '/api/v1/agents/{id}/runs' and is async.</t>
  </si>
  <si>
    <t xml:space="preserve">Fixed path to plural; proxy now triggers (202 + run_id) then polls GET runs/{id} to completion.</t>
  </si>
  <si>
    <t xml:space="preserve">Closed</t>
  </si>
  <si>
    <t xml:space="preserve">First agent failed at File Processor: 'no text could be extracted' (input.attachment_base64 empty).</t>
  </si>
  <si>
    <t xml:space="preserve">OCR node expected an uploaded document; JSON trigger sends a parsed bill, not a file.</t>
  </si>
  <si>
    <t xml:space="preserve">Replaced file_processor with an Ingest code node reading input_payload.bill (OCR deferred to a production front-end).</t>
  </si>
  <si>
    <t xml:space="preserve">code_exec failed: 'Disallowed token in code: import'.</t>
  </si>
  <si>
    <t xml:space="preserve">Crest code sandbox blocks import statements; nodes used 'import json'.</t>
  </si>
  <si>
    <t xml:space="preserve">Removed all imports; code nodes now use native dicts/lists, no json module.</t>
  </si>
  <si>
    <t xml:space="preserve">code_exec failed: 'Disallowed token in code: from'.</t>
  </si>
  <si>
    <t xml:space="preserve">Sandbox scans raw text incl. comments; the word 'from' appeared in a code comment.</t>
  </si>
  <si>
    <t xml:space="preserve">Stripped all comments from code nodes; verified no blocked tokens remain.</t>
  </si>
  <si>
    <t xml:space="preserve">Forecast returned 416 units instead of expected ~344.</t>
  </si>
  <si>
    <t xml:space="preserve">Seasonal lookup matched the current month (present in history), predicting this month again.</t>
  </si>
  <si>
    <t xml:space="preserve">Seasonal now uses first non-current month in the rolling 12-month window.</t>
  </si>
  <si>
    <t xml:space="preserve">TC-APP-04, TC-APP-05</t>
  </si>
  <si>
    <t xml:space="preserve">Uploading a different bill still showed the previous consumer (Ramesh).</t>
  </si>
  <si>
    <t xml:space="preserve">File-upload path was hardcoded to sample B; app cannot OCR a photo in demo.</t>
  </si>
  <si>
    <t xml:space="preserve">Route upload by filename to the right consumer; ask via chooser when unclear; each run sends its own consumer_id.</t>
  </si>
  <si>
    <t xml:space="preserve">TC-API-05, TC-APP-02</t>
  </si>
  <si>
    <t xml:space="preserve">Stayed in Demo mode after filling .env; live agent never triggered.</t>
  </si>
  <si>
    <t xml:space="preserve">server.py read only the OS environment; values in .env were never loaded.</t>
  </si>
  <si>
    <t xml:space="preserve">server.py now auto-loads .env (tolerating quotes/spaces); boot banner shows LIVE vs DEMO.</t>
  </si>
  <si>
    <t xml:space="preserve">TC-AG-12, TC-APP-02</t>
  </si>
  <si>
    <t xml:space="preserve">Output as a JSON-string template risked malformed output with Telugu/newlines.</t>
  </si>
  <si>
    <t xml:space="preserve">result_template string-building is fragile for multi-line bilingual text.</t>
  </si>
  <si>
    <t xml:space="preserve">Output node uses result_path to project the composed object; app unwraps output_payload robustly.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</si>
</sst>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1B33"/>
      <name val="Arial"/>
      <family val="0"/>
      <charset val="1"/>
    </font>
    <font>
      <sz val="10"/>
      <color rgb="FF51607A"/>
      <name val="Arial"/>
      <family val="0"/>
      <charset val="1"/>
    </font>
    <font>
      <b val="true"/>
      <sz val="10"/>
      <color rgb="FF0E1B33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2"/>
      <color rgb="FF0E1B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7A45"/>
      <name val="Arial"/>
      <family val="0"/>
      <charset val="1"/>
    </font>
    <font>
      <b val="true"/>
      <sz val="10"/>
      <color rgb="FF51607A"/>
      <name val="Arial"/>
      <family val="0"/>
      <charset val="1"/>
    </font>
    <font>
      <b val="true"/>
      <sz val="10"/>
      <color rgb="FF0B5FF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A9521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1B33"/>
        <bgColor rgb="FF1A1A1A"/>
      </patternFill>
    </fill>
    <fill>
      <patternFill patternType="solid">
        <fgColor rgb="FFF4F7FC"/>
        <bgColor rgb="FFFFFFFF"/>
      </patternFill>
    </fill>
    <fill>
      <patternFill patternType="solid">
        <fgColor rgb="FFE6F5EC"/>
        <bgColor rgb="FFF4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E1B33"/>
          <bgColor rgb="FF000000"/>
        </patternFill>
      </fill>
    </dxf>
    <dxf>
      <fill>
        <patternFill patternType="solid">
          <fgColor rgb="FFF4F7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5F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E6F5EC"/>
          <bgColor rgb="FF000000"/>
        </patternFill>
      </fill>
    </dxf>
    <dxf>
      <fill>
        <patternFill patternType="solid">
          <fgColor rgb="FF1C7A45"/>
          <bgColor rgb="FF000000"/>
        </patternFill>
      </fill>
    </dxf>
    <dxf>
      <fill>
        <patternFill patternType="solid">
          <fgColor rgb="FF51607A"/>
          <bgColor rgb="FF000000"/>
        </patternFill>
      </fill>
    </dxf>
    <dxf>
      <fill>
        <patternFill patternType="solid">
          <fgColor rgb="FFA9521B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A45"/>
      <rgbColor rgb="FFC0C0C0"/>
      <rgbColor rgb="FF808080"/>
      <rgbColor rgb="FF9999FF"/>
      <rgbColor rgb="FFA9521B"/>
      <rgbColor rgb="FFF4F7FC"/>
      <rgbColor rgb="FFE6F5EC"/>
      <rgbColor rgb="FF660066"/>
      <rgbColor rgb="FFFF8080"/>
      <rgbColor rgb="FF0B5FF0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1607A"/>
      <rgbColor rgb="FF969696"/>
      <rgbColor rgb="FF0E1B33"/>
      <rgbColor rgb="FF339966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4" t="s">
        <v>3</v>
      </c>
      <c r="D5" s="4"/>
      <c r="E5" s="4"/>
      <c r="F5" s="4"/>
    </row>
    <row r="6" customFormat="false" ht="15" hidden="false" customHeight="false" outlineLevel="0" collapsed="false">
      <c r="B6" s="3" t="s">
        <v>4</v>
      </c>
      <c r="C6" s="4" t="s">
        <v>5</v>
      </c>
      <c r="D6" s="4"/>
      <c r="E6" s="4"/>
      <c r="F6" s="4"/>
    </row>
    <row r="7" customFormat="false" ht="15" hidden="false" customHeight="false" outlineLevel="0" collapsed="false">
      <c r="B7" s="3" t="s">
        <v>6</v>
      </c>
      <c r="C7" s="4" t="s">
        <v>7</v>
      </c>
      <c r="D7" s="4"/>
      <c r="E7" s="4"/>
      <c r="F7" s="4"/>
    </row>
    <row r="8" customFormat="false" ht="15" hidden="false" customHeight="false" outlineLevel="0" collapsed="false">
      <c r="B8" s="3" t="s">
        <v>8</v>
      </c>
      <c r="C8" s="4" t="s">
        <v>9</v>
      </c>
      <c r="D8" s="4"/>
      <c r="E8" s="4"/>
      <c r="F8" s="4"/>
    </row>
    <row r="9" customFormat="false" ht="15" hidden="false" customHeight="false" outlineLevel="0" collapsed="false">
      <c r="B9" s="3" t="s">
        <v>10</v>
      </c>
      <c r="C9" s="4" t="s">
        <v>11</v>
      </c>
      <c r="D9" s="4"/>
      <c r="E9" s="4"/>
      <c r="F9" s="4"/>
    </row>
    <row r="10" customFormat="false" ht="15" hidden="false" customHeight="false" outlineLevel="0" collapsed="false">
      <c r="B10" s="3" t="s">
        <v>12</v>
      </c>
      <c r="C10" s="4" t="s">
        <v>13</v>
      </c>
      <c r="D10" s="4"/>
      <c r="E10" s="4"/>
      <c r="F10" s="4"/>
    </row>
    <row r="12" customFormat="false" ht="15" hidden="false" customHeight="false" outlineLevel="0" collapsed="false">
      <c r="B12" s="5" t="s">
        <v>14</v>
      </c>
    </row>
    <row r="13" customFormat="false" ht="15" hidden="false" customHeight="false" outlineLevel="0" collapsed="false">
      <c r="B13" s="6" t="s">
        <v>15</v>
      </c>
      <c r="C13" s="7" t="s">
        <v>16</v>
      </c>
    </row>
    <row r="14" customFormat="false" ht="15" hidden="false" customHeight="false" outlineLevel="0" collapsed="false">
      <c r="B14" s="8" t="s">
        <v>17</v>
      </c>
      <c r="C14" s="9" t="n">
        <f aca="false">COUNTA('Test Cases'!$I$2:$I$53)</f>
        <v>52</v>
      </c>
    </row>
    <row r="15" customFormat="false" ht="15" hidden="false" customHeight="false" outlineLevel="0" collapsed="false">
      <c r="B15" s="8" t="s">
        <v>18</v>
      </c>
      <c r="C15" s="10" t="n">
        <f aca="false">COUNTIF('Test Cases'!$I$2:$I$53,"Pass*")</f>
        <v>52</v>
      </c>
    </row>
    <row r="16" customFormat="false" ht="15" hidden="false" customHeight="false" outlineLevel="0" collapsed="false">
      <c r="B16" s="8" t="s">
        <v>19</v>
      </c>
      <c r="C16" s="9" t="n">
        <f aca="false">COUNTIF('Test Cases'!$I$2:$I$53,"Fail")</f>
        <v>0</v>
      </c>
    </row>
    <row r="17" customFormat="false" ht="15" hidden="false" customHeight="false" outlineLevel="0" collapsed="false">
      <c r="B17" s="8" t="s">
        <v>20</v>
      </c>
      <c r="C17" s="9" t="n">
        <f aca="false">COUNTIF('Test Cases'!$I$2:$I$53,"Blocked")</f>
        <v>0</v>
      </c>
    </row>
    <row r="18" customFormat="false" ht="15" hidden="false" customHeight="false" outlineLevel="0" collapsed="false">
      <c r="B18" s="8" t="s">
        <v>21</v>
      </c>
      <c r="C18" s="11" t="n">
        <f aca="false">IF(COUNTA('Test Cases'!$I$2:$I$53)=0,0,COUNTIF('Test Cases'!$I$2:$I$53,"Pass*")/COUNTA('Test Cases'!$I$2:$I$53))</f>
        <v>1</v>
      </c>
    </row>
    <row r="20" customFormat="false" ht="15" hidden="false" customHeight="false" outlineLevel="0" collapsed="false">
      <c r="B20" s="5" t="s">
        <v>22</v>
      </c>
    </row>
    <row r="21" customFormat="false" ht="15" hidden="false" customHeight="false" outlineLevel="0" collapsed="false">
      <c r="B21" s="6" t="s">
        <v>15</v>
      </c>
      <c r="C21" s="7" t="s">
        <v>16</v>
      </c>
    </row>
    <row r="22" customFormat="false" ht="15" hidden="false" customHeight="false" outlineLevel="0" collapsed="false">
      <c r="B22" s="8" t="s">
        <v>23</v>
      </c>
      <c r="C22" s="9" t="n">
        <f aca="false">COUNTA('Defect Log'!$G$2:$G$9)</f>
        <v>8</v>
      </c>
    </row>
    <row r="23" customFormat="false" ht="15" hidden="false" customHeight="false" outlineLevel="0" collapsed="false">
      <c r="B23" s="8" t="s">
        <v>24</v>
      </c>
      <c r="C23" s="9" t="n">
        <f aca="false">COUNTIF('Defect Log'!$G$2:$G$9,"Closed")</f>
        <v>8</v>
      </c>
    </row>
    <row r="24" customFormat="false" ht="15" hidden="false" customHeight="false" outlineLevel="0" collapsed="false">
      <c r="B24" s="8" t="s">
        <v>25</v>
      </c>
      <c r="C24" s="9" t="n">
        <f aca="false">COUNTIF('Defect Log'!$G$2:$G$9,"Open")</f>
        <v>0</v>
      </c>
    </row>
    <row r="26" customFormat="false" ht="15" hidden="false" customHeight="true" outlineLevel="0" collapsed="false">
      <c r="B26" s="12" t="s">
        <v>26</v>
      </c>
      <c r="C26" s="13" t="s">
        <v>27</v>
      </c>
      <c r="D26" s="13"/>
      <c r="E26" s="13"/>
      <c r="F26" s="13"/>
    </row>
    <row r="27" customFormat="false" ht="15" hidden="false" customHeight="false" outlineLevel="0" collapsed="false">
      <c r="C27" s="13"/>
      <c r="D27" s="13"/>
      <c r="E27" s="13"/>
      <c r="F27" s="13"/>
    </row>
    <row r="28" customFormat="false" ht="15" hidden="false" customHeight="false" outlineLevel="0" collapsed="false">
      <c r="C28" s="13"/>
      <c r="D28" s="13"/>
      <c r="E28" s="13"/>
      <c r="F28" s="13"/>
    </row>
  </sheetData>
  <mergeCells count="9">
    <mergeCell ref="B2:F2"/>
    <mergeCell ref="B3:F3"/>
    <mergeCell ref="C5:F5"/>
    <mergeCell ref="C6:F6"/>
    <mergeCell ref="C7:F7"/>
    <mergeCell ref="C8:F8"/>
    <mergeCell ref="C9:F9"/>
    <mergeCell ref="C10:F10"/>
    <mergeCell ref="C26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4" t="s">
        <v>28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4" t="s">
        <v>35</v>
      </c>
      <c r="I1" s="14" t="s">
        <v>36</v>
      </c>
      <c r="J1" s="14" t="s">
        <v>37</v>
      </c>
      <c r="K1" s="14" t="s">
        <v>38</v>
      </c>
      <c r="L1" s="14" t="s">
        <v>39</v>
      </c>
      <c r="M1" s="14" t="s">
        <v>40</v>
      </c>
    </row>
    <row r="2" customFormat="false" ht="46.25" hidden="false" customHeight="false" outlineLevel="0" collapsed="false">
      <c r="A2" s="15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  <c r="H2" s="16" t="s">
        <v>48</v>
      </c>
      <c r="I2" s="17" t="s">
        <v>49</v>
      </c>
      <c r="J2" s="18" t="s">
        <v>50</v>
      </c>
      <c r="K2" s="19"/>
      <c r="L2" s="19" t="s">
        <v>51</v>
      </c>
      <c r="M2" s="19" t="s">
        <v>13</v>
      </c>
    </row>
    <row r="3" customFormat="false" ht="23.85" hidden="false" customHeight="false" outlineLevel="0" collapsed="false">
      <c r="A3" s="20" t="s">
        <v>52</v>
      </c>
      <c r="B3" s="21" t="s">
        <v>42</v>
      </c>
      <c r="C3" s="21" t="s">
        <v>53</v>
      </c>
      <c r="D3" s="21" t="s">
        <v>54</v>
      </c>
      <c r="E3" s="21" t="s">
        <v>55</v>
      </c>
      <c r="F3" s="21" t="s">
        <v>56</v>
      </c>
      <c r="G3" s="21" t="s">
        <v>57</v>
      </c>
      <c r="H3" s="21" t="s">
        <v>58</v>
      </c>
      <c r="I3" s="17" t="s">
        <v>49</v>
      </c>
      <c r="J3" s="22" t="s">
        <v>50</v>
      </c>
      <c r="K3" s="23"/>
      <c r="L3" s="23" t="s">
        <v>51</v>
      </c>
      <c r="M3" s="23" t="s">
        <v>13</v>
      </c>
    </row>
    <row r="4" customFormat="false" ht="23.85" hidden="false" customHeight="false" outlineLevel="0" collapsed="false">
      <c r="A4" s="15" t="s">
        <v>59</v>
      </c>
      <c r="B4" s="16" t="s">
        <v>42</v>
      </c>
      <c r="C4" s="16" t="s">
        <v>60</v>
      </c>
      <c r="D4" s="16" t="s">
        <v>61</v>
      </c>
      <c r="E4" s="16" t="s">
        <v>62</v>
      </c>
      <c r="F4" s="16" t="s">
        <v>63</v>
      </c>
      <c r="G4" s="16" t="s">
        <v>64</v>
      </c>
      <c r="H4" s="16" t="s">
        <v>65</v>
      </c>
      <c r="I4" s="17" t="s">
        <v>49</v>
      </c>
      <c r="J4" s="18" t="s">
        <v>50</v>
      </c>
      <c r="K4" s="19"/>
      <c r="L4" s="19" t="s">
        <v>51</v>
      </c>
      <c r="M4" s="19" t="s">
        <v>13</v>
      </c>
    </row>
    <row r="5" customFormat="false" ht="15" hidden="false" customHeight="false" outlineLevel="0" collapsed="false">
      <c r="A5" s="20" t="s">
        <v>66</v>
      </c>
      <c r="B5" s="21" t="s">
        <v>42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21" t="s">
        <v>72</v>
      </c>
      <c r="I5" s="17" t="s">
        <v>49</v>
      </c>
      <c r="J5" s="22" t="s">
        <v>50</v>
      </c>
      <c r="K5" s="23" t="s">
        <v>73</v>
      </c>
      <c r="L5" s="23" t="s">
        <v>51</v>
      </c>
      <c r="M5" s="23" t="s">
        <v>13</v>
      </c>
    </row>
    <row r="6" customFormat="false" ht="23.85" hidden="false" customHeight="false" outlineLevel="0" collapsed="false">
      <c r="A6" s="15" t="s">
        <v>74</v>
      </c>
      <c r="B6" s="16" t="s">
        <v>42</v>
      </c>
      <c r="C6" s="16" t="s">
        <v>75</v>
      </c>
      <c r="D6" s="16" t="s">
        <v>61</v>
      </c>
      <c r="E6" s="16" t="s">
        <v>76</v>
      </c>
      <c r="F6" s="16" t="s">
        <v>77</v>
      </c>
      <c r="G6" s="16" t="s">
        <v>78</v>
      </c>
      <c r="H6" s="16" t="s">
        <v>79</v>
      </c>
      <c r="I6" s="17" t="s">
        <v>49</v>
      </c>
      <c r="J6" s="18" t="s">
        <v>50</v>
      </c>
      <c r="K6" s="19" t="s">
        <v>80</v>
      </c>
      <c r="L6" s="19" t="s">
        <v>51</v>
      </c>
      <c r="M6" s="19" t="s">
        <v>13</v>
      </c>
    </row>
    <row r="7" customFormat="false" ht="23.85" hidden="false" customHeight="false" outlineLevel="0" collapsed="false">
      <c r="A7" s="20" t="s">
        <v>81</v>
      </c>
      <c r="B7" s="21" t="s">
        <v>42</v>
      </c>
      <c r="C7" s="21" t="s">
        <v>82</v>
      </c>
      <c r="D7" s="21" t="s">
        <v>61</v>
      </c>
      <c r="E7" s="21" t="s">
        <v>83</v>
      </c>
      <c r="F7" s="21" t="s">
        <v>77</v>
      </c>
      <c r="G7" s="21" t="s">
        <v>84</v>
      </c>
      <c r="H7" s="21" t="s">
        <v>85</v>
      </c>
      <c r="I7" s="17" t="s">
        <v>49</v>
      </c>
      <c r="J7" s="22" t="s">
        <v>50</v>
      </c>
      <c r="K7" s="23" t="s">
        <v>86</v>
      </c>
      <c r="L7" s="23" t="s">
        <v>51</v>
      </c>
      <c r="M7" s="23" t="s">
        <v>13</v>
      </c>
    </row>
    <row r="8" customFormat="false" ht="23.85" hidden="false" customHeight="false" outlineLevel="0" collapsed="false">
      <c r="A8" s="15" t="s">
        <v>87</v>
      </c>
      <c r="B8" s="16" t="s">
        <v>42</v>
      </c>
      <c r="C8" s="16" t="s">
        <v>88</v>
      </c>
      <c r="D8" s="16" t="s">
        <v>61</v>
      </c>
      <c r="E8" s="16" t="s">
        <v>89</v>
      </c>
      <c r="F8" s="16" t="s">
        <v>90</v>
      </c>
      <c r="G8" s="16" t="s">
        <v>91</v>
      </c>
      <c r="H8" s="16" t="s">
        <v>92</v>
      </c>
      <c r="I8" s="17" t="s">
        <v>49</v>
      </c>
      <c r="J8" s="24" t="s">
        <v>93</v>
      </c>
      <c r="K8" s="19"/>
      <c r="L8" s="19" t="s">
        <v>51</v>
      </c>
      <c r="M8" s="19" t="s">
        <v>13</v>
      </c>
    </row>
    <row r="9" customFormat="false" ht="23.85" hidden="false" customHeight="false" outlineLevel="0" collapsed="false">
      <c r="A9" s="20" t="s">
        <v>94</v>
      </c>
      <c r="B9" s="21" t="s">
        <v>42</v>
      </c>
      <c r="C9" s="21" t="s">
        <v>95</v>
      </c>
      <c r="D9" s="21" t="s">
        <v>96</v>
      </c>
      <c r="E9" s="21" t="s">
        <v>97</v>
      </c>
      <c r="F9" s="21" t="s">
        <v>98</v>
      </c>
      <c r="G9" s="21" t="s">
        <v>99</v>
      </c>
      <c r="H9" s="21" t="s">
        <v>100</v>
      </c>
      <c r="I9" s="17" t="s">
        <v>49</v>
      </c>
      <c r="J9" s="22" t="s">
        <v>50</v>
      </c>
      <c r="K9" s="23"/>
      <c r="L9" s="23" t="s">
        <v>51</v>
      </c>
      <c r="M9" s="23" t="s">
        <v>13</v>
      </c>
    </row>
    <row r="10" customFormat="false" ht="23.85" hidden="false" customHeight="false" outlineLevel="0" collapsed="false">
      <c r="A10" s="15" t="s">
        <v>101</v>
      </c>
      <c r="B10" s="16" t="s">
        <v>42</v>
      </c>
      <c r="C10" s="16" t="s">
        <v>102</v>
      </c>
      <c r="D10" s="16" t="s">
        <v>103</v>
      </c>
      <c r="E10" s="16" t="s">
        <v>104</v>
      </c>
      <c r="F10" s="16" t="s">
        <v>70</v>
      </c>
      <c r="G10" s="16" t="s">
        <v>105</v>
      </c>
      <c r="H10" s="16" t="s">
        <v>106</v>
      </c>
      <c r="I10" s="17" t="s">
        <v>49</v>
      </c>
      <c r="J10" s="18" t="s">
        <v>50</v>
      </c>
      <c r="K10" s="19"/>
      <c r="L10" s="19" t="s">
        <v>51</v>
      </c>
      <c r="M10" s="19" t="s">
        <v>13</v>
      </c>
    </row>
    <row r="11" customFormat="false" ht="23.85" hidden="false" customHeight="false" outlineLevel="0" collapsed="false">
      <c r="A11" s="20" t="s">
        <v>107</v>
      </c>
      <c r="B11" s="21" t="s">
        <v>42</v>
      </c>
      <c r="C11" s="21" t="s">
        <v>108</v>
      </c>
      <c r="D11" s="21" t="s">
        <v>109</v>
      </c>
      <c r="E11" s="21" t="s">
        <v>110</v>
      </c>
      <c r="F11" s="21" t="s">
        <v>111</v>
      </c>
      <c r="G11" s="21" t="s">
        <v>112</v>
      </c>
      <c r="H11" s="21" t="s">
        <v>113</v>
      </c>
      <c r="I11" s="17" t="s">
        <v>49</v>
      </c>
      <c r="J11" s="25" t="s">
        <v>93</v>
      </c>
      <c r="K11" s="23"/>
      <c r="L11" s="23" t="s">
        <v>51</v>
      </c>
      <c r="M11" s="23" t="s">
        <v>13</v>
      </c>
    </row>
    <row r="12" customFormat="false" ht="23.85" hidden="false" customHeight="false" outlineLevel="0" collapsed="false">
      <c r="A12" s="15" t="s">
        <v>114</v>
      </c>
      <c r="B12" s="16" t="s">
        <v>42</v>
      </c>
      <c r="C12" s="16" t="s">
        <v>115</v>
      </c>
      <c r="D12" s="16" t="s">
        <v>116</v>
      </c>
      <c r="E12" s="16" t="s">
        <v>117</v>
      </c>
      <c r="F12" s="16" t="s">
        <v>70</v>
      </c>
      <c r="G12" s="16" t="s">
        <v>118</v>
      </c>
      <c r="H12" s="16" t="s">
        <v>119</v>
      </c>
      <c r="I12" s="17" t="s">
        <v>49</v>
      </c>
      <c r="J12" s="26" t="s">
        <v>120</v>
      </c>
      <c r="K12" s="19"/>
      <c r="L12" s="19" t="s">
        <v>51</v>
      </c>
      <c r="M12" s="19" t="s">
        <v>13</v>
      </c>
    </row>
    <row r="13" customFormat="false" ht="23.85" hidden="false" customHeight="false" outlineLevel="0" collapsed="false">
      <c r="A13" s="20" t="s">
        <v>121</v>
      </c>
      <c r="B13" s="21" t="s">
        <v>42</v>
      </c>
      <c r="C13" s="21" t="s">
        <v>122</v>
      </c>
      <c r="D13" s="21" t="s">
        <v>123</v>
      </c>
      <c r="E13" s="21" t="s">
        <v>124</v>
      </c>
      <c r="F13" s="21" t="s">
        <v>70</v>
      </c>
      <c r="G13" s="21" t="s">
        <v>125</v>
      </c>
      <c r="H13" s="21" t="s">
        <v>126</v>
      </c>
      <c r="I13" s="17" t="s">
        <v>49</v>
      </c>
      <c r="J13" s="22" t="s">
        <v>50</v>
      </c>
      <c r="K13" s="23" t="s">
        <v>127</v>
      </c>
      <c r="L13" s="23" t="s">
        <v>51</v>
      </c>
      <c r="M13" s="23" t="s">
        <v>13</v>
      </c>
    </row>
    <row r="14" customFormat="false" ht="23.85" hidden="false" customHeight="false" outlineLevel="0" collapsed="false">
      <c r="A14" s="15" t="s">
        <v>128</v>
      </c>
      <c r="B14" s="16" t="s">
        <v>42</v>
      </c>
      <c r="C14" s="16" t="s">
        <v>129</v>
      </c>
      <c r="D14" s="16" t="s">
        <v>130</v>
      </c>
      <c r="E14" s="16" t="s">
        <v>131</v>
      </c>
      <c r="F14" s="16" t="s">
        <v>132</v>
      </c>
      <c r="G14" s="16" t="s">
        <v>133</v>
      </c>
      <c r="H14" s="16" t="s">
        <v>134</v>
      </c>
      <c r="I14" s="17" t="s">
        <v>49</v>
      </c>
      <c r="J14" s="18" t="s">
        <v>50</v>
      </c>
      <c r="K14" s="19"/>
      <c r="L14" s="19" t="s">
        <v>51</v>
      </c>
      <c r="M14" s="19" t="s">
        <v>13</v>
      </c>
    </row>
    <row r="15" customFormat="false" ht="15" hidden="false" customHeight="false" outlineLevel="0" collapsed="false">
      <c r="A15" s="20" t="s">
        <v>135</v>
      </c>
      <c r="B15" s="21" t="s">
        <v>42</v>
      </c>
      <c r="C15" s="21" t="s">
        <v>136</v>
      </c>
      <c r="D15" s="21" t="s">
        <v>137</v>
      </c>
      <c r="E15" s="21" t="s">
        <v>138</v>
      </c>
      <c r="F15" s="21" t="s">
        <v>70</v>
      </c>
      <c r="G15" s="21" t="s">
        <v>139</v>
      </c>
      <c r="H15" s="21" t="s">
        <v>140</v>
      </c>
      <c r="I15" s="17" t="s">
        <v>49</v>
      </c>
      <c r="J15" s="22" t="s">
        <v>50</v>
      </c>
      <c r="K15" s="23"/>
      <c r="L15" s="23" t="s">
        <v>51</v>
      </c>
      <c r="M15" s="23" t="s">
        <v>13</v>
      </c>
    </row>
    <row r="16" customFormat="false" ht="23.85" hidden="false" customHeight="false" outlineLevel="0" collapsed="false">
      <c r="A16" s="15" t="s">
        <v>141</v>
      </c>
      <c r="B16" s="16" t="s">
        <v>142</v>
      </c>
      <c r="C16" s="16" t="s">
        <v>143</v>
      </c>
      <c r="D16" s="16" t="s">
        <v>144</v>
      </c>
      <c r="E16" s="16" t="s">
        <v>145</v>
      </c>
      <c r="F16" s="16" t="s">
        <v>146</v>
      </c>
      <c r="G16" s="16" t="s">
        <v>147</v>
      </c>
      <c r="H16" s="16" t="s">
        <v>148</v>
      </c>
      <c r="I16" s="17" t="s">
        <v>49</v>
      </c>
      <c r="J16" s="18" t="s">
        <v>50</v>
      </c>
      <c r="K16" s="19" t="s">
        <v>149</v>
      </c>
      <c r="L16" s="19" t="s">
        <v>51</v>
      </c>
      <c r="M16" s="19" t="s">
        <v>13</v>
      </c>
    </row>
    <row r="17" customFormat="false" ht="23.85" hidden="false" customHeight="false" outlineLevel="0" collapsed="false">
      <c r="A17" s="20" t="s">
        <v>150</v>
      </c>
      <c r="B17" s="21" t="s">
        <v>142</v>
      </c>
      <c r="C17" s="21" t="s">
        <v>151</v>
      </c>
      <c r="D17" s="21" t="s">
        <v>152</v>
      </c>
      <c r="E17" s="21" t="s">
        <v>153</v>
      </c>
      <c r="F17" s="21" t="s">
        <v>154</v>
      </c>
      <c r="G17" s="21" t="s">
        <v>155</v>
      </c>
      <c r="H17" s="21" t="s">
        <v>156</v>
      </c>
      <c r="I17" s="17" t="s">
        <v>49</v>
      </c>
      <c r="J17" s="22" t="s">
        <v>50</v>
      </c>
      <c r="K17" s="23"/>
      <c r="L17" s="23" t="s">
        <v>51</v>
      </c>
      <c r="M17" s="23" t="s">
        <v>13</v>
      </c>
    </row>
    <row r="18" customFormat="false" ht="15" hidden="false" customHeight="false" outlineLevel="0" collapsed="false">
      <c r="A18" s="15" t="s">
        <v>157</v>
      </c>
      <c r="B18" s="16" t="s">
        <v>142</v>
      </c>
      <c r="C18" s="16" t="s">
        <v>158</v>
      </c>
      <c r="D18" s="16" t="s">
        <v>159</v>
      </c>
      <c r="E18" s="16" t="s">
        <v>160</v>
      </c>
      <c r="F18" s="16" t="s">
        <v>161</v>
      </c>
      <c r="G18" s="16" t="s">
        <v>162</v>
      </c>
      <c r="H18" s="16" t="s">
        <v>163</v>
      </c>
      <c r="I18" s="17" t="s">
        <v>49</v>
      </c>
      <c r="J18" s="18" t="s">
        <v>50</v>
      </c>
      <c r="K18" s="19"/>
      <c r="L18" s="19" t="s">
        <v>51</v>
      </c>
      <c r="M18" s="19" t="s">
        <v>13</v>
      </c>
    </row>
    <row r="19" customFormat="false" ht="23.85" hidden="false" customHeight="false" outlineLevel="0" collapsed="false">
      <c r="A19" s="20" t="s">
        <v>164</v>
      </c>
      <c r="B19" s="21" t="s">
        <v>142</v>
      </c>
      <c r="C19" s="21" t="s">
        <v>165</v>
      </c>
      <c r="D19" s="21" t="s">
        <v>166</v>
      </c>
      <c r="E19" s="21" t="s">
        <v>167</v>
      </c>
      <c r="F19" s="21" t="s">
        <v>168</v>
      </c>
      <c r="G19" s="21" t="s">
        <v>169</v>
      </c>
      <c r="H19" s="21" t="s">
        <v>170</v>
      </c>
      <c r="I19" s="17" t="s">
        <v>49</v>
      </c>
      <c r="J19" s="25" t="s">
        <v>93</v>
      </c>
      <c r="K19" s="23"/>
      <c r="L19" s="23" t="s">
        <v>51</v>
      </c>
      <c r="M19" s="23" t="s">
        <v>13</v>
      </c>
    </row>
    <row r="20" customFormat="false" ht="23.85" hidden="false" customHeight="false" outlineLevel="0" collapsed="false">
      <c r="A20" s="15" t="s">
        <v>171</v>
      </c>
      <c r="B20" s="16" t="s">
        <v>142</v>
      </c>
      <c r="C20" s="16" t="s">
        <v>172</v>
      </c>
      <c r="D20" s="16" t="s">
        <v>173</v>
      </c>
      <c r="E20" s="16" t="s">
        <v>174</v>
      </c>
      <c r="F20" s="16" t="s">
        <v>175</v>
      </c>
      <c r="G20" s="16" t="s">
        <v>176</v>
      </c>
      <c r="H20" s="16" t="s">
        <v>177</v>
      </c>
      <c r="I20" s="17" t="s">
        <v>49</v>
      </c>
      <c r="J20" s="24" t="s">
        <v>93</v>
      </c>
      <c r="K20" s="19" t="s">
        <v>178</v>
      </c>
      <c r="L20" s="19" t="s">
        <v>51</v>
      </c>
      <c r="M20" s="19" t="s">
        <v>13</v>
      </c>
    </row>
    <row r="21" customFormat="false" ht="15" hidden="false" customHeight="false" outlineLevel="0" collapsed="false">
      <c r="A21" s="20" t="s">
        <v>179</v>
      </c>
      <c r="B21" s="21" t="s">
        <v>142</v>
      </c>
      <c r="C21" s="21" t="s">
        <v>180</v>
      </c>
      <c r="D21" s="21" t="s">
        <v>181</v>
      </c>
      <c r="E21" s="21" t="s">
        <v>182</v>
      </c>
      <c r="F21" s="21" t="s">
        <v>56</v>
      </c>
      <c r="G21" s="21" t="s">
        <v>183</v>
      </c>
      <c r="H21" s="21" t="s">
        <v>184</v>
      </c>
      <c r="I21" s="17" t="s">
        <v>49</v>
      </c>
      <c r="J21" s="27" t="s">
        <v>120</v>
      </c>
      <c r="K21" s="23"/>
      <c r="L21" s="23" t="s">
        <v>51</v>
      </c>
      <c r="M21" s="23" t="s">
        <v>13</v>
      </c>
    </row>
    <row r="22" customFormat="false" ht="23.85" hidden="false" customHeight="false" outlineLevel="0" collapsed="false">
      <c r="A22" s="15" t="s">
        <v>185</v>
      </c>
      <c r="B22" s="16" t="s">
        <v>142</v>
      </c>
      <c r="C22" s="16" t="s">
        <v>186</v>
      </c>
      <c r="D22" s="16" t="s">
        <v>166</v>
      </c>
      <c r="E22" s="16" t="s">
        <v>187</v>
      </c>
      <c r="F22" s="16" t="s">
        <v>188</v>
      </c>
      <c r="G22" s="16" t="s">
        <v>189</v>
      </c>
      <c r="H22" s="16" t="s">
        <v>190</v>
      </c>
      <c r="I22" s="17" t="s">
        <v>49</v>
      </c>
      <c r="J22" s="24" t="s">
        <v>93</v>
      </c>
      <c r="K22" s="19" t="s">
        <v>149</v>
      </c>
      <c r="L22" s="19" t="s">
        <v>51</v>
      </c>
      <c r="M22" s="19" t="s">
        <v>13</v>
      </c>
    </row>
    <row r="23" customFormat="false" ht="23.85" hidden="false" customHeight="false" outlineLevel="0" collapsed="false">
      <c r="A23" s="20" t="s">
        <v>191</v>
      </c>
      <c r="B23" s="21" t="s">
        <v>142</v>
      </c>
      <c r="C23" s="21" t="s">
        <v>192</v>
      </c>
      <c r="D23" s="21" t="s">
        <v>166</v>
      </c>
      <c r="E23" s="21" t="s">
        <v>193</v>
      </c>
      <c r="F23" s="21" t="s">
        <v>194</v>
      </c>
      <c r="G23" s="21" t="s">
        <v>195</v>
      </c>
      <c r="H23" s="21" t="s">
        <v>196</v>
      </c>
      <c r="I23" s="17" t="s">
        <v>49</v>
      </c>
      <c r="J23" s="27" t="s">
        <v>120</v>
      </c>
      <c r="K23" s="23"/>
      <c r="L23" s="23" t="s">
        <v>51</v>
      </c>
      <c r="M23" s="23" t="s">
        <v>13</v>
      </c>
    </row>
    <row r="24" customFormat="false" ht="23.85" hidden="false" customHeight="false" outlineLevel="0" collapsed="false">
      <c r="A24" s="15" t="s">
        <v>197</v>
      </c>
      <c r="B24" s="16" t="s">
        <v>142</v>
      </c>
      <c r="C24" s="16" t="s">
        <v>198</v>
      </c>
      <c r="D24" s="16" t="s">
        <v>199</v>
      </c>
      <c r="E24" s="16" t="s">
        <v>200</v>
      </c>
      <c r="F24" s="16" t="s">
        <v>201</v>
      </c>
      <c r="G24" s="16" t="s">
        <v>202</v>
      </c>
      <c r="H24" s="16" t="s">
        <v>203</v>
      </c>
      <c r="I24" s="17" t="s">
        <v>49</v>
      </c>
      <c r="J24" s="26" t="s">
        <v>120</v>
      </c>
      <c r="K24" s="19"/>
      <c r="L24" s="19" t="s">
        <v>51</v>
      </c>
      <c r="M24" s="19" t="s">
        <v>13</v>
      </c>
    </row>
    <row r="25" customFormat="false" ht="23.85" hidden="false" customHeight="false" outlineLevel="0" collapsed="false">
      <c r="A25" s="20" t="s">
        <v>204</v>
      </c>
      <c r="B25" s="21" t="s">
        <v>205</v>
      </c>
      <c r="C25" s="21" t="s">
        <v>206</v>
      </c>
      <c r="D25" s="21" t="s">
        <v>207</v>
      </c>
      <c r="E25" s="21" t="s">
        <v>208</v>
      </c>
      <c r="F25" s="21" t="s">
        <v>209</v>
      </c>
      <c r="G25" s="21" t="s">
        <v>210</v>
      </c>
      <c r="H25" s="21" t="s">
        <v>211</v>
      </c>
      <c r="I25" s="17" t="s">
        <v>49</v>
      </c>
      <c r="J25" s="25" t="s">
        <v>93</v>
      </c>
      <c r="K25" s="23"/>
      <c r="L25" s="23" t="s">
        <v>51</v>
      </c>
      <c r="M25" s="23" t="s">
        <v>13</v>
      </c>
    </row>
    <row r="26" customFormat="false" ht="23.85" hidden="false" customHeight="false" outlineLevel="0" collapsed="false">
      <c r="A26" s="15" t="s">
        <v>212</v>
      </c>
      <c r="B26" s="16" t="s">
        <v>205</v>
      </c>
      <c r="C26" s="16" t="s">
        <v>213</v>
      </c>
      <c r="D26" s="16" t="s">
        <v>214</v>
      </c>
      <c r="E26" s="16" t="s">
        <v>215</v>
      </c>
      <c r="F26" s="16" t="s">
        <v>56</v>
      </c>
      <c r="G26" s="16" t="s">
        <v>216</v>
      </c>
      <c r="H26" s="16" t="s">
        <v>217</v>
      </c>
      <c r="I26" s="17" t="s">
        <v>49</v>
      </c>
      <c r="J26" s="24" t="s">
        <v>93</v>
      </c>
      <c r="K26" s="19" t="s">
        <v>127</v>
      </c>
      <c r="L26" s="19" t="s">
        <v>51</v>
      </c>
      <c r="M26" s="19" t="s">
        <v>13</v>
      </c>
    </row>
    <row r="27" customFormat="false" ht="15" hidden="false" customHeight="false" outlineLevel="0" collapsed="false">
      <c r="A27" s="20" t="s">
        <v>218</v>
      </c>
      <c r="B27" s="21" t="s">
        <v>205</v>
      </c>
      <c r="C27" s="21" t="s">
        <v>219</v>
      </c>
      <c r="D27" s="21" t="s">
        <v>220</v>
      </c>
      <c r="E27" s="21" t="s">
        <v>221</v>
      </c>
      <c r="F27" s="21" t="s">
        <v>222</v>
      </c>
      <c r="G27" s="21" t="s">
        <v>223</v>
      </c>
      <c r="H27" s="21" t="s">
        <v>224</v>
      </c>
      <c r="I27" s="17" t="s">
        <v>49</v>
      </c>
      <c r="J27" s="22" t="s">
        <v>50</v>
      </c>
      <c r="K27" s="23"/>
      <c r="L27" s="23" t="s">
        <v>51</v>
      </c>
      <c r="M27" s="23" t="s">
        <v>13</v>
      </c>
    </row>
    <row r="28" customFormat="false" ht="15" hidden="false" customHeight="false" outlineLevel="0" collapsed="false">
      <c r="A28" s="15" t="s">
        <v>225</v>
      </c>
      <c r="B28" s="16" t="s">
        <v>205</v>
      </c>
      <c r="C28" s="16" t="s">
        <v>226</v>
      </c>
      <c r="D28" s="16" t="s">
        <v>220</v>
      </c>
      <c r="E28" s="16" t="s">
        <v>227</v>
      </c>
      <c r="F28" s="16" t="s">
        <v>228</v>
      </c>
      <c r="G28" s="16" t="s">
        <v>229</v>
      </c>
      <c r="H28" s="16" t="s">
        <v>230</v>
      </c>
      <c r="I28" s="17" t="s">
        <v>49</v>
      </c>
      <c r="J28" s="18" t="s">
        <v>50</v>
      </c>
      <c r="K28" s="19" t="s">
        <v>231</v>
      </c>
      <c r="L28" s="19" t="s">
        <v>51</v>
      </c>
      <c r="M28" s="19" t="s">
        <v>13</v>
      </c>
    </row>
    <row r="29" customFormat="false" ht="15" hidden="false" customHeight="false" outlineLevel="0" collapsed="false">
      <c r="A29" s="20" t="s">
        <v>232</v>
      </c>
      <c r="B29" s="21" t="s">
        <v>205</v>
      </c>
      <c r="C29" s="21" t="s">
        <v>233</v>
      </c>
      <c r="D29" s="21" t="s">
        <v>234</v>
      </c>
      <c r="E29" s="21" t="s">
        <v>235</v>
      </c>
      <c r="F29" s="21" t="s">
        <v>236</v>
      </c>
      <c r="G29" s="21" t="s">
        <v>237</v>
      </c>
      <c r="H29" s="21" t="s">
        <v>238</v>
      </c>
      <c r="I29" s="17" t="s">
        <v>49</v>
      </c>
      <c r="J29" s="25" t="s">
        <v>93</v>
      </c>
      <c r="K29" s="23" t="s">
        <v>231</v>
      </c>
      <c r="L29" s="23" t="s">
        <v>51</v>
      </c>
      <c r="M29" s="23" t="s">
        <v>13</v>
      </c>
    </row>
    <row r="30" customFormat="false" ht="15" hidden="false" customHeight="false" outlineLevel="0" collapsed="false">
      <c r="A30" s="15" t="s">
        <v>239</v>
      </c>
      <c r="B30" s="16" t="s">
        <v>205</v>
      </c>
      <c r="C30" s="16" t="s">
        <v>240</v>
      </c>
      <c r="D30" s="16" t="s">
        <v>234</v>
      </c>
      <c r="E30" s="16" t="s">
        <v>241</v>
      </c>
      <c r="F30" s="16" t="s">
        <v>242</v>
      </c>
      <c r="G30" s="16" t="s">
        <v>243</v>
      </c>
      <c r="H30" s="16" t="s">
        <v>244</v>
      </c>
      <c r="I30" s="17" t="s">
        <v>49</v>
      </c>
      <c r="J30" s="26" t="s">
        <v>120</v>
      </c>
      <c r="K30" s="19"/>
      <c r="L30" s="19" t="s">
        <v>51</v>
      </c>
      <c r="M30" s="19" t="s">
        <v>13</v>
      </c>
    </row>
    <row r="31" customFormat="false" ht="15" hidden="false" customHeight="false" outlineLevel="0" collapsed="false">
      <c r="A31" s="20" t="s">
        <v>245</v>
      </c>
      <c r="B31" s="21" t="s">
        <v>205</v>
      </c>
      <c r="C31" s="21" t="s">
        <v>246</v>
      </c>
      <c r="D31" s="21" t="s">
        <v>247</v>
      </c>
      <c r="E31" s="21" t="s">
        <v>248</v>
      </c>
      <c r="F31" s="21" t="s">
        <v>56</v>
      </c>
      <c r="G31" s="21" t="s">
        <v>249</v>
      </c>
      <c r="H31" s="21" t="s">
        <v>250</v>
      </c>
      <c r="I31" s="17" t="s">
        <v>49</v>
      </c>
      <c r="J31" s="25" t="s">
        <v>93</v>
      </c>
      <c r="K31" s="23"/>
      <c r="L31" s="23" t="s">
        <v>51</v>
      </c>
      <c r="M31" s="23" t="s">
        <v>13</v>
      </c>
    </row>
    <row r="32" customFormat="false" ht="15" hidden="false" customHeight="false" outlineLevel="0" collapsed="false">
      <c r="A32" s="15" t="s">
        <v>251</v>
      </c>
      <c r="B32" s="16" t="s">
        <v>205</v>
      </c>
      <c r="C32" s="16" t="s">
        <v>252</v>
      </c>
      <c r="D32" s="16" t="s">
        <v>247</v>
      </c>
      <c r="E32" s="16" t="s">
        <v>253</v>
      </c>
      <c r="F32" s="16" t="s">
        <v>56</v>
      </c>
      <c r="G32" s="16" t="s">
        <v>254</v>
      </c>
      <c r="H32" s="16" t="s">
        <v>255</v>
      </c>
      <c r="I32" s="17" t="s">
        <v>49</v>
      </c>
      <c r="J32" s="26" t="s">
        <v>120</v>
      </c>
      <c r="K32" s="19"/>
      <c r="L32" s="19" t="s">
        <v>51</v>
      </c>
      <c r="M32" s="19" t="s">
        <v>13</v>
      </c>
    </row>
    <row r="33" customFormat="false" ht="15" hidden="false" customHeight="false" outlineLevel="0" collapsed="false">
      <c r="A33" s="20" t="s">
        <v>256</v>
      </c>
      <c r="B33" s="21" t="s">
        <v>205</v>
      </c>
      <c r="C33" s="21" t="s">
        <v>257</v>
      </c>
      <c r="D33" s="21" t="s">
        <v>247</v>
      </c>
      <c r="E33" s="21" t="s">
        <v>258</v>
      </c>
      <c r="F33" s="21" t="s">
        <v>56</v>
      </c>
      <c r="G33" s="21" t="s">
        <v>259</v>
      </c>
      <c r="H33" s="21" t="s">
        <v>260</v>
      </c>
      <c r="I33" s="17" t="s">
        <v>49</v>
      </c>
      <c r="J33" s="27" t="s">
        <v>120</v>
      </c>
      <c r="K33" s="23"/>
      <c r="L33" s="23" t="s">
        <v>51</v>
      </c>
      <c r="M33" s="23" t="s">
        <v>13</v>
      </c>
    </row>
    <row r="34" customFormat="false" ht="23.85" hidden="false" customHeight="false" outlineLevel="0" collapsed="false">
      <c r="A34" s="15" t="s">
        <v>261</v>
      </c>
      <c r="B34" s="16" t="s">
        <v>205</v>
      </c>
      <c r="C34" s="16" t="s">
        <v>262</v>
      </c>
      <c r="D34" s="16" t="s">
        <v>263</v>
      </c>
      <c r="E34" s="16" t="s">
        <v>264</v>
      </c>
      <c r="F34" s="16" t="s">
        <v>56</v>
      </c>
      <c r="G34" s="16" t="s">
        <v>265</v>
      </c>
      <c r="H34" s="16" t="s">
        <v>266</v>
      </c>
      <c r="I34" s="17" t="s">
        <v>49</v>
      </c>
      <c r="J34" s="24" t="s">
        <v>93</v>
      </c>
      <c r="K34" s="19"/>
      <c r="L34" s="19" t="s">
        <v>51</v>
      </c>
      <c r="M34" s="19" t="s">
        <v>13</v>
      </c>
    </row>
    <row r="35" customFormat="false" ht="15" hidden="false" customHeight="false" outlineLevel="0" collapsed="false">
      <c r="A35" s="20" t="s">
        <v>267</v>
      </c>
      <c r="B35" s="21" t="s">
        <v>205</v>
      </c>
      <c r="C35" s="21" t="s">
        <v>268</v>
      </c>
      <c r="D35" s="21" t="s">
        <v>269</v>
      </c>
      <c r="E35" s="21" t="s">
        <v>270</v>
      </c>
      <c r="F35" s="21" t="s">
        <v>56</v>
      </c>
      <c r="G35" s="21" t="s">
        <v>271</v>
      </c>
      <c r="H35" s="21" t="s">
        <v>272</v>
      </c>
      <c r="I35" s="17" t="s">
        <v>49</v>
      </c>
      <c r="J35" s="27" t="s">
        <v>120</v>
      </c>
      <c r="K35" s="23"/>
      <c r="L35" s="23" t="s">
        <v>51</v>
      </c>
      <c r="M35" s="23" t="s">
        <v>13</v>
      </c>
    </row>
    <row r="36" customFormat="false" ht="23.85" hidden="false" customHeight="false" outlineLevel="0" collapsed="false">
      <c r="A36" s="15" t="s">
        <v>273</v>
      </c>
      <c r="B36" s="16" t="s">
        <v>205</v>
      </c>
      <c r="C36" s="16" t="s">
        <v>274</v>
      </c>
      <c r="D36" s="16" t="s">
        <v>275</v>
      </c>
      <c r="E36" s="16" t="s">
        <v>276</v>
      </c>
      <c r="F36" s="16" t="s">
        <v>56</v>
      </c>
      <c r="G36" s="16" t="s">
        <v>277</v>
      </c>
      <c r="H36" s="16" t="s">
        <v>278</v>
      </c>
      <c r="I36" s="17" t="s">
        <v>49</v>
      </c>
      <c r="J36" s="26" t="s">
        <v>120</v>
      </c>
      <c r="K36" s="19"/>
      <c r="L36" s="19" t="s">
        <v>51</v>
      </c>
      <c r="M36" s="19" t="s">
        <v>13</v>
      </c>
    </row>
    <row r="37" customFormat="false" ht="23.85" hidden="false" customHeight="false" outlineLevel="0" collapsed="false">
      <c r="A37" s="20" t="s">
        <v>279</v>
      </c>
      <c r="B37" s="21" t="s">
        <v>205</v>
      </c>
      <c r="C37" s="21" t="s">
        <v>280</v>
      </c>
      <c r="D37" s="21" t="s">
        <v>247</v>
      </c>
      <c r="E37" s="21" t="s">
        <v>281</v>
      </c>
      <c r="F37" s="21" t="s">
        <v>282</v>
      </c>
      <c r="G37" s="21" t="s">
        <v>283</v>
      </c>
      <c r="H37" s="21" t="s">
        <v>284</v>
      </c>
      <c r="I37" s="17" t="s">
        <v>49</v>
      </c>
      <c r="J37" s="25" t="s">
        <v>93</v>
      </c>
      <c r="K37" s="23"/>
      <c r="L37" s="23" t="s">
        <v>51</v>
      </c>
      <c r="M37" s="23" t="s">
        <v>13</v>
      </c>
    </row>
    <row r="38" customFormat="false" ht="15" hidden="false" customHeight="false" outlineLevel="0" collapsed="false">
      <c r="A38" s="15" t="s">
        <v>285</v>
      </c>
      <c r="B38" s="16" t="s">
        <v>205</v>
      </c>
      <c r="C38" s="16" t="s">
        <v>286</v>
      </c>
      <c r="D38" s="16" t="s">
        <v>247</v>
      </c>
      <c r="E38" s="16" t="s">
        <v>287</v>
      </c>
      <c r="F38" s="16" t="s">
        <v>222</v>
      </c>
      <c r="G38" s="16" t="s">
        <v>288</v>
      </c>
      <c r="H38" s="16" t="s">
        <v>289</v>
      </c>
      <c r="I38" s="17" t="s">
        <v>49</v>
      </c>
      <c r="J38" s="24" t="s">
        <v>93</v>
      </c>
      <c r="K38" s="19"/>
      <c r="L38" s="19" t="s">
        <v>51</v>
      </c>
      <c r="M38" s="19" t="s">
        <v>13</v>
      </c>
    </row>
    <row r="39" customFormat="false" ht="23.85" hidden="false" customHeight="false" outlineLevel="0" collapsed="false">
      <c r="A39" s="20" t="s">
        <v>290</v>
      </c>
      <c r="B39" s="21" t="s">
        <v>205</v>
      </c>
      <c r="C39" s="21" t="s">
        <v>291</v>
      </c>
      <c r="D39" s="21" t="s">
        <v>247</v>
      </c>
      <c r="E39" s="21" t="s">
        <v>292</v>
      </c>
      <c r="F39" s="21" t="s">
        <v>56</v>
      </c>
      <c r="G39" s="21" t="s">
        <v>293</v>
      </c>
      <c r="H39" s="21" t="s">
        <v>294</v>
      </c>
      <c r="I39" s="17" t="s">
        <v>49</v>
      </c>
      <c r="J39" s="25" t="s">
        <v>93</v>
      </c>
      <c r="K39" s="23"/>
      <c r="L39" s="23" t="s">
        <v>51</v>
      </c>
      <c r="M39" s="23" t="s">
        <v>13</v>
      </c>
    </row>
    <row r="40" customFormat="false" ht="15" hidden="false" customHeight="false" outlineLevel="0" collapsed="false">
      <c r="A40" s="15" t="s">
        <v>295</v>
      </c>
      <c r="B40" s="16" t="s">
        <v>205</v>
      </c>
      <c r="C40" s="16" t="s">
        <v>296</v>
      </c>
      <c r="D40" s="16" t="s">
        <v>247</v>
      </c>
      <c r="E40" s="16" t="s">
        <v>297</v>
      </c>
      <c r="F40" s="16" t="s">
        <v>56</v>
      </c>
      <c r="G40" s="16" t="s">
        <v>298</v>
      </c>
      <c r="H40" s="16" t="s">
        <v>294</v>
      </c>
      <c r="I40" s="17" t="s">
        <v>49</v>
      </c>
      <c r="J40" s="24" t="s">
        <v>93</v>
      </c>
      <c r="K40" s="19"/>
      <c r="L40" s="19" t="s">
        <v>51</v>
      </c>
      <c r="M40" s="19" t="s">
        <v>13</v>
      </c>
    </row>
    <row r="41" customFormat="false" ht="23.85" hidden="false" customHeight="false" outlineLevel="0" collapsed="false">
      <c r="A41" s="20" t="s">
        <v>299</v>
      </c>
      <c r="B41" s="21" t="s">
        <v>205</v>
      </c>
      <c r="C41" s="21" t="s">
        <v>300</v>
      </c>
      <c r="D41" s="21" t="s">
        <v>301</v>
      </c>
      <c r="E41" s="21" t="s">
        <v>302</v>
      </c>
      <c r="F41" s="21" t="s">
        <v>303</v>
      </c>
      <c r="G41" s="21" t="s">
        <v>304</v>
      </c>
      <c r="H41" s="21" t="s">
        <v>305</v>
      </c>
      <c r="I41" s="17" t="s">
        <v>49</v>
      </c>
      <c r="J41" s="27" t="s">
        <v>120</v>
      </c>
      <c r="K41" s="23"/>
      <c r="L41" s="23" t="s">
        <v>51</v>
      </c>
      <c r="M41" s="23" t="s">
        <v>13</v>
      </c>
    </row>
    <row r="42" customFormat="false" ht="15" hidden="false" customHeight="false" outlineLevel="0" collapsed="false">
      <c r="A42" s="15" t="s">
        <v>306</v>
      </c>
      <c r="B42" s="16" t="s">
        <v>205</v>
      </c>
      <c r="C42" s="16" t="s">
        <v>307</v>
      </c>
      <c r="D42" s="16" t="s">
        <v>308</v>
      </c>
      <c r="E42" s="16" t="s">
        <v>309</v>
      </c>
      <c r="F42" s="16" t="s">
        <v>56</v>
      </c>
      <c r="G42" s="16" t="s">
        <v>310</v>
      </c>
      <c r="H42" s="16" t="s">
        <v>311</v>
      </c>
      <c r="I42" s="17" t="s">
        <v>49</v>
      </c>
      <c r="J42" s="26" t="s">
        <v>120</v>
      </c>
      <c r="K42" s="19"/>
      <c r="L42" s="19" t="s">
        <v>51</v>
      </c>
      <c r="M42" s="19" t="s">
        <v>13</v>
      </c>
    </row>
    <row r="43" customFormat="false" ht="23.85" hidden="false" customHeight="false" outlineLevel="0" collapsed="false">
      <c r="A43" s="20" t="s">
        <v>312</v>
      </c>
      <c r="B43" s="21" t="s">
        <v>313</v>
      </c>
      <c r="C43" s="21" t="s">
        <v>314</v>
      </c>
      <c r="D43" s="21" t="s">
        <v>315</v>
      </c>
      <c r="E43" s="21" t="s">
        <v>316</v>
      </c>
      <c r="F43" s="21" t="s">
        <v>317</v>
      </c>
      <c r="G43" s="21" t="s">
        <v>318</v>
      </c>
      <c r="H43" s="21" t="s">
        <v>319</v>
      </c>
      <c r="I43" s="17" t="s">
        <v>49</v>
      </c>
      <c r="J43" s="22" t="s">
        <v>50</v>
      </c>
      <c r="K43" s="23" t="s">
        <v>320</v>
      </c>
      <c r="L43" s="23" t="s">
        <v>51</v>
      </c>
      <c r="M43" s="23" t="s">
        <v>13</v>
      </c>
    </row>
    <row r="44" customFormat="false" ht="23.85" hidden="false" customHeight="false" outlineLevel="0" collapsed="false">
      <c r="A44" s="15" t="s">
        <v>321</v>
      </c>
      <c r="B44" s="16" t="s">
        <v>313</v>
      </c>
      <c r="C44" s="16" t="s">
        <v>322</v>
      </c>
      <c r="D44" s="16" t="s">
        <v>315</v>
      </c>
      <c r="E44" s="16" t="s">
        <v>323</v>
      </c>
      <c r="F44" s="16" t="s">
        <v>324</v>
      </c>
      <c r="G44" s="16" t="s">
        <v>325</v>
      </c>
      <c r="H44" s="16" t="s">
        <v>326</v>
      </c>
      <c r="I44" s="17" t="s">
        <v>49</v>
      </c>
      <c r="J44" s="18" t="s">
        <v>50</v>
      </c>
      <c r="K44" s="19"/>
      <c r="L44" s="19" t="s">
        <v>51</v>
      </c>
      <c r="M44" s="19" t="s">
        <v>13</v>
      </c>
    </row>
    <row r="45" customFormat="false" ht="23.85" hidden="false" customHeight="false" outlineLevel="0" collapsed="false">
      <c r="A45" s="20" t="s">
        <v>327</v>
      </c>
      <c r="B45" s="21" t="s">
        <v>313</v>
      </c>
      <c r="C45" s="21" t="s">
        <v>328</v>
      </c>
      <c r="D45" s="21" t="s">
        <v>247</v>
      </c>
      <c r="E45" s="21" t="s">
        <v>329</v>
      </c>
      <c r="F45" s="21" t="s">
        <v>330</v>
      </c>
      <c r="G45" s="21" t="s">
        <v>331</v>
      </c>
      <c r="H45" s="21" t="s">
        <v>332</v>
      </c>
      <c r="I45" s="17" t="s">
        <v>49</v>
      </c>
      <c r="J45" s="25" t="s">
        <v>93</v>
      </c>
      <c r="K45" s="23"/>
      <c r="L45" s="23" t="s">
        <v>51</v>
      </c>
      <c r="M45" s="23" t="s">
        <v>13</v>
      </c>
    </row>
    <row r="46" customFormat="false" ht="23.85" hidden="false" customHeight="false" outlineLevel="0" collapsed="false">
      <c r="A46" s="15" t="s">
        <v>333</v>
      </c>
      <c r="B46" s="16" t="s">
        <v>313</v>
      </c>
      <c r="C46" s="16" t="s">
        <v>334</v>
      </c>
      <c r="D46" s="16" t="s">
        <v>335</v>
      </c>
      <c r="E46" s="16" t="s">
        <v>336</v>
      </c>
      <c r="F46" s="16" t="s">
        <v>337</v>
      </c>
      <c r="G46" s="16" t="s">
        <v>338</v>
      </c>
      <c r="H46" s="16" t="s">
        <v>339</v>
      </c>
      <c r="I46" s="17" t="s">
        <v>49</v>
      </c>
      <c r="J46" s="26" t="s">
        <v>120</v>
      </c>
      <c r="K46" s="19"/>
      <c r="L46" s="19" t="s">
        <v>51</v>
      </c>
      <c r="M46" s="19" t="s">
        <v>13</v>
      </c>
    </row>
    <row r="47" customFormat="false" ht="23.85" hidden="false" customHeight="false" outlineLevel="0" collapsed="false">
      <c r="A47" s="20" t="s">
        <v>340</v>
      </c>
      <c r="B47" s="21" t="s">
        <v>313</v>
      </c>
      <c r="C47" s="21" t="s">
        <v>341</v>
      </c>
      <c r="D47" s="21" t="s">
        <v>247</v>
      </c>
      <c r="E47" s="21" t="s">
        <v>342</v>
      </c>
      <c r="F47" s="21" t="s">
        <v>343</v>
      </c>
      <c r="G47" s="21" t="s">
        <v>344</v>
      </c>
      <c r="H47" s="21" t="s">
        <v>345</v>
      </c>
      <c r="I47" s="17" t="s">
        <v>49</v>
      </c>
      <c r="J47" s="25" t="s">
        <v>93</v>
      </c>
      <c r="K47" s="23"/>
      <c r="L47" s="23" t="s">
        <v>51</v>
      </c>
      <c r="M47" s="23" t="s">
        <v>13</v>
      </c>
    </row>
    <row r="48" customFormat="false" ht="23.85" hidden="false" customHeight="false" outlineLevel="0" collapsed="false">
      <c r="A48" s="15" t="s">
        <v>346</v>
      </c>
      <c r="B48" s="16" t="s">
        <v>313</v>
      </c>
      <c r="C48" s="16" t="s">
        <v>347</v>
      </c>
      <c r="D48" s="16" t="s">
        <v>315</v>
      </c>
      <c r="E48" s="16" t="s">
        <v>348</v>
      </c>
      <c r="F48" s="16" t="s">
        <v>222</v>
      </c>
      <c r="G48" s="16" t="s">
        <v>349</v>
      </c>
      <c r="H48" s="16" t="s">
        <v>350</v>
      </c>
      <c r="I48" s="17" t="s">
        <v>49</v>
      </c>
      <c r="J48" s="18" t="s">
        <v>50</v>
      </c>
      <c r="K48" s="19"/>
      <c r="L48" s="19" t="s">
        <v>51</v>
      </c>
      <c r="M48" s="19" t="s">
        <v>13</v>
      </c>
    </row>
    <row r="49" customFormat="false" ht="15" hidden="false" customHeight="false" outlineLevel="0" collapsed="false">
      <c r="A49" s="20" t="s">
        <v>351</v>
      </c>
      <c r="B49" s="21" t="s">
        <v>352</v>
      </c>
      <c r="C49" s="21" t="s">
        <v>353</v>
      </c>
      <c r="D49" s="21" t="s">
        <v>354</v>
      </c>
      <c r="E49" s="21" t="s">
        <v>355</v>
      </c>
      <c r="F49" s="21" t="s">
        <v>56</v>
      </c>
      <c r="G49" s="21" t="s">
        <v>356</v>
      </c>
      <c r="H49" s="21" t="s">
        <v>357</v>
      </c>
      <c r="I49" s="17" t="s">
        <v>49</v>
      </c>
      <c r="J49" s="22" t="s">
        <v>50</v>
      </c>
      <c r="K49" s="23"/>
      <c r="L49" s="23" t="s">
        <v>51</v>
      </c>
      <c r="M49" s="23" t="s">
        <v>13</v>
      </c>
    </row>
    <row r="50" customFormat="false" ht="15" hidden="false" customHeight="false" outlineLevel="0" collapsed="false">
      <c r="A50" s="15" t="s">
        <v>358</v>
      </c>
      <c r="B50" s="16" t="s">
        <v>352</v>
      </c>
      <c r="C50" s="16" t="s">
        <v>359</v>
      </c>
      <c r="D50" s="16" t="s">
        <v>360</v>
      </c>
      <c r="E50" s="16" t="s">
        <v>361</v>
      </c>
      <c r="F50" s="16" t="s">
        <v>56</v>
      </c>
      <c r="G50" s="16" t="s">
        <v>362</v>
      </c>
      <c r="H50" s="16" t="s">
        <v>363</v>
      </c>
      <c r="I50" s="17" t="s">
        <v>49</v>
      </c>
      <c r="J50" s="24" t="s">
        <v>93</v>
      </c>
      <c r="K50" s="19"/>
      <c r="L50" s="19" t="s">
        <v>51</v>
      </c>
      <c r="M50" s="19" t="s">
        <v>13</v>
      </c>
    </row>
    <row r="51" customFormat="false" ht="23.85" hidden="false" customHeight="false" outlineLevel="0" collapsed="false">
      <c r="A51" s="20" t="s">
        <v>364</v>
      </c>
      <c r="B51" s="21" t="s">
        <v>352</v>
      </c>
      <c r="C51" s="21" t="s">
        <v>365</v>
      </c>
      <c r="D51" s="21" t="s">
        <v>56</v>
      </c>
      <c r="E51" s="21" t="s">
        <v>366</v>
      </c>
      <c r="F51" s="21" t="s">
        <v>56</v>
      </c>
      <c r="G51" s="21" t="s">
        <v>367</v>
      </c>
      <c r="H51" s="21" t="s">
        <v>368</v>
      </c>
      <c r="I51" s="17" t="s">
        <v>49</v>
      </c>
      <c r="J51" s="25" t="s">
        <v>93</v>
      </c>
      <c r="K51" s="23"/>
      <c r="L51" s="23" t="s">
        <v>51</v>
      </c>
      <c r="M51" s="23" t="s">
        <v>13</v>
      </c>
    </row>
    <row r="52" customFormat="false" ht="15" hidden="false" customHeight="false" outlineLevel="0" collapsed="false">
      <c r="A52" s="15" t="s">
        <v>369</v>
      </c>
      <c r="B52" s="16" t="s">
        <v>352</v>
      </c>
      <c r="C52" s="16" t="s">
        <v>370</v>
      </c>
      <c r="D52" s="16" t="s">
        <v>56</v>
      </c>
      <c r="E52" s="16" t="s">
        <v>371</v>
      </c>
      <c r="F52" s="16" t="s">
        <v>56</v>
      </c>
      <c r="G52" s="16" t="s">
        <v>372</v>
      </c>
      <c r="H52" s="16" t="s">
        <v>373</v>
      </c>
      <c r="I52" s="17" t="s">
        <v>49</v>
      </c>
      <c r="J52" s="26" t="s">
        <v>120</v>
      </c>
      <c r="K52" s="19"/>
      <c r="L52" s="19" t="s">
        <v>51</v>
      </c>
      <c r="M52" s="19" t="s">
        <v>13</v>
      </c>
    </row>
    <row r="53" customFormat="false" ht="15" hidden="false" customHeight="false" outlineLevel="0" collapsed="false">
      <c r="A53" s="20" t="s">
        <v>374</v>
      </c>
      <c r="B53" s="21" t="s">
        <v>352</v>
      </c>
      <c r="C53" s="21" t="s">
        <v>375</v>
      </c>
      <c r="D53" s="21" t="s">
        <v>376</v>
      </c>
      <c r="E53" s="21" t="s">
        <v>377</v>
      </c>
      <c r="F53" s="21" t="s">
        <v>56</v>
      </c>
      <c r="G53" s="21" t="s">
        <v>378</v>
      </c>
      <c r="H53" s="21" t="s">
        <v>379</v>
      </c>
      <c r="I53" s="17" t="s">
        <v>49</v>
      </c>
      <c r="J53" s="27" t="s">
        <v>120</v>
      </c>
      <c r="K53" s="23"/>
      <c r="L53" s="23" t="s">
        <v>51</v>
      </c>
      <c r="M53" s="23" t="s">
        <v>13</v>
      </c>
    </row>
  </sheetData>
  <autoFilter ref="A1:M53"/>
  <dataValidations count="1">
    <dataValidation allowBlank="true" errorStyle="stop" operator="between" showDropDown="false" showErrorMessage="false" showInputMessage="false" sqref="I2:I53" type="list">
      <formula1>"Pass,Fail,Blocked,Pass (Retest),Not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40"/>
    <col collapsed="false" customWidth="true" hidden="false" outlineLevel="0" max="6" min="6" style="0" width="44"/>
    <col collapsed="false" customWidth="true" hidden="false" outlineLevel="0" max="7" min="7" style="0" width="9"/>
    <col collapsed="false" customWidth="true" hidden="false" outlineLevel="0" max="9" min="8" style="0" width="12"/>
  </cols>
  <sheetData>
    <row r="1" customFormat="false" ht="30" hidden="false" customHeight="true" outlineLevel="0" collapsed="false">
      <c r="A1" s="14" t="s">
        <v>38</v>
      </c>
      <c r="B1" s="14" t="s">
        <v>380</v>
      </c>
      <c r="C1" s="14" t="s">
        <v>37</v>
      </c>
      <c r="D1" s="14" t="s">
        <v>381</v>
      </c>
      <c r="E1" s="14" t="s">
        <v>382</v>
      </c>
      <c r="F1" s="14" t="s">
        <v>383</v>
      </c>
      <c r="G1" s="14" t="s">
        <v>36</v>
      </c>
      <c r="H1" s="14" t="s">
        <v>384</v>
      </c>
      <c r="I1" s="14" t="s">
        <v>385</v>
      </c>
    </row>
    <row r="2" customFormat="false" ht="23.85" hidden="false" customHeight="false" outlineLevel="0" collapsed="false">
      <c r="A2" s="15" t="s">
        <v>149</v>
      </c>
      <c r="B2" s="16" t="s">
        <v>386</v>
      </c>
      <c r="C2" s="18" t="s">
        <v>50</v>
      </c>
      <c r="D2" s="16" t="s">
        <v>387</v>
      </c>
      <c r="E2" s="16" t="s">
        <v>388</v>
      </c>
      <c r="F2" s="16" t="s">
        <v>389</v>
      </c>
      <c r="G2" s="17" t="s">
        <v>390</v>
      </c>
      <c r="H2" s="19" t="s">
        <v>13</v>
      </c>
      <c r="I2" s="19" t="s">
        <v>13</v>
      </c>
    </row>
    <row r="3" customFormat="false" ht="35.05" hidden="false" customHeight="false" outlineLevel="0" collapsed="false">
      <c r="A3" s="20" t="s">
        <v>73</v>
      </c>
      <c r="B3" s="21" t="s">
        <v>66</v>
      </c>
      <c r="C3" s="22" t="s">
        <v>50</v>
      </c>
      <c r="D3" s="21" t="s">
        <v>391</v>
      </c>
      <c r="E3" s="21" t="s">
        <v>392</v>
      </c>
      <c r="F3" s="21" t="s">
        <v>393</v>
      </c>
      <c r="G3" s="17" t="s">
        <v>390</v>
      </c>
      <c r="H3" s="23" t="s">
        <v>13</v>
      </c>
      <c r="I3" s="23" t="s">
        <v>13</v>
      </c>
    </row>
    <row r="4" customFormat="false" ht="23.85" hidden="false" customHeight="false" outlineLevel="0" collapsed="false">
      <c r="A4" s="15" t="s">
        <v>80</v>
      </c>
      <c r="B4" s="16" t="s">
        <v>74</v>
      </c>
      <c r="C4" s="18" t="s">
        <v>50</v>
      </c>
      <c r="D4" s="16" t="s">
        <v>394</v>
      </c>
      <c r="E4" s="16" t="s">
        <v>395</v>
      </c>
      <c r="F4" s="16" t="s">
        <v>396</v>
      </c>
      <c r="G4" s="17" t="s">
        <v>390</v>
      </c>
      <c r="H4" s="19" t="s">
        <v>13</v>
      </c>
      <c r="I4" s="19" t="s">
        <v>13</v>
      </c>
    </row>
    <row r="5" customFormat="false" ht="23.85" hidden="false" customHeight="false" outlineLevel="0" collapsed="false">
      <c r="A5" s="20" t="s">
        <v>86</v>
      </c>
      <c r="B5" s="21" t="s">
        <v>81</v>
      </c>
      <c r="C5" s="22" t="s">
        <v>50</v>
      </c>
      <c r="D5" s="21" t="s">
        <v>397</v>
      </c>
      <c r="E5" s="21" t="s">
        <v>398</v>
      </c>
      <c r="F5" s="21" t="s">
        <v>399</v>
      </c>
      <c r="G5" s="17" t="s">
        <v>390</v>
      </c>
      <c r="H5" s="23" t="s">
        <v>13</v>
      </c>
      <c r="I5" s="23" t="s">
        <v>13</v>
      </c>
    </row>
    <row r="6" customFormat="false" ht="23.85" hidden="false" customHeight="false" outlineLevel="0" collapsed="false">
      <c r="A6" s="15" t="s">
        <v>320</v>
      </c>
      <c r="B6" s="16" t="s">
        <v>312</v>
      </c>
      <c r="C6" s="24" t="s">
        <v>93</v>
      </c>
      <c r="D6" s="16" t="s">
        <v>400</v>
      </c>
      <c r="E6" s="16" t="s">
        <v>401</v>
      </c>
      <c r="F6" s="16" t="s">
        <v>402</v>
      </c>
      <c r="G6" s="17" t="s">
        <v>390</v>
      </c>
      <c r="H6" s="19" t="s">
        <v>13</v>
      </c>
      <c r="I6" s="19" t="s">
        <v>13</v>
      </c>
    </row>
    <row r="7" customFormat="false" ht="35.05" hidden="false" customHeight="false" outlineLevel="0" collapsed="false">
      <c r="A7" s="20" t="s">
        <v>231</v>
      </c>
      <c r="B7" s="21" t="s">
        <v>403</v>
      </c>
      <c r="C7" s="25" t="s">
        <v>93</v>
      </c>
      <c r="D7" s="21" t="s">
        <v>404</v>
      </c>
      <c r="E7" s="21" t="s">
        <v>405</v>
      </c>
      <c r="F7" s="21" t="s">
        <v>406</v>
      </c>
      <c r="G7" s="17" t="s">
        <v>390</v>
      </c>
      <c r="H7" s="23" t="s">
        <v>13</v>
      </c>
      <c r="I7" s="23" t="s">
        <v>13</v>
      </c>
    </row>
    <row r="8" customFormat="false" ht="23.85" hidden="false" customHeight="false" outlineLevel="0" collapsed="false">
      <c r="A8" s="15" t="s">
        <v>178</v>
      </c>
      <c r="B8" s="16" t="s">
        <v>407</v>
      </c>
      <c r="C8" s="24" t="s">
        <v>93</v>
      </c>
      <c r="D8" s="16" t="s">
        <v>408</v>
      </c>
      <c r="E8" s="16" t="s">
        <v>409</v>
      </c>
      <c r="F8" s="16" t="s">
        <v>410</v>
      </c>
      <c r="G8" s="17" t="s">
        <v>390</v>
      </c>
      <c r="H8" s="19" t="s">
        <v>13</v>
      </c>
      <c r="I8" s="19" t="s">
        <v>13</v>
      </c>
    </row>
    <row r="9" customFormat="false" ht="23.85" hidden="false" customHeight="false" outlineLevel="0" collapsed="false">
      <c r="A9" s="20" t="s">
        <v>127</v>
      </c>
      <c r="B9" s="21" t="s">
        <v>411</v>
      </c>
      <c r="C9" s="27" t="s">
        <v>120</v>
      </c>
      <c r="D9" s="21" t="s">
        <v>412</v>
      </c>
      <c r="E9" s="21" t="s">
        <v>413</v>
      </c>
      <c r="F9" s="21" t="s">
        <v>414</v>
      </c>
      <c r="G9" s="17" t="s">
        <v>390</v>
      </c>
      <c r="H9" s="23" t="s">
        <v>13</v>
      </c>
      <c r="I9" s="23" t="s">
        <v>13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2026-10-13T10:42:06Z</dcterms:created>
  <dc:creator>openpyxl</dc:creator>
  <dc:description/>
  <dc:language>en-US</dc:language>
  <cp:lastModifiedBy/>
  <dcterms:modified xsi:type="dcterms:W3CDTF">2026-10-13T10:42:06Z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